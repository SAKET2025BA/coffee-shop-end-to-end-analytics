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et\OneDrive\Desktop\Data-Analytics-Portfolio\Capstone_End_to_End_Business_Analytics\04_excel\"/>
    </mc:Choice>
  </mc:AlternateContent>
  <xr:revisionPtr revIDLastSave="0" documentId="8_{5AD24735-5A14-42E5-8AEE-3F7BE4FC8068}" xr6:coauthVersionLast="47" xr6:coauthVersionMax="47" xr10:uidLastSave="{00000000-0000-0000-0000-000000000000}"/>
  <bookViews>
    <workbookView xWindow="-108" yWindow="-108" windowWidth="23256" windowHeight="12456" firstSheet="9" activeTab="10" xr2:uid="{03CC65B8-AB1E-4563-A340-167F8A812475}"/>
  </bookViews>
  <sheets>
    <sheet name="ingredients_clean" sheetId="1" r:id="rId1"/>
    <sheet name="recipe_clean" sheetId="2" r:id="rId2"/>
    <sheet name="inventory_clean" sheetId="3" r:id="rId3"/>
    <sheet name="items_clean" sheetId="4" r:id="rId4"/>
    <sheet name="orders_clean" sheetId="5" r:id="rId5"/>
    <sheet name="rota_clean" sheetId="6" r:id="rId6"/>
    <sheet name="shift_clean" sheetId="7" r:id="rId7"/>
    <sheet name="staff_clean" sheetId="8" r:id="rId8"/>
    <sheet name="item_ing_cost_bridge" sheetId="10" r:id="rId9"/>
    <sheet name="recipe_cost" sheetId="13" r:id="rId10"/>
    <sheet name="sales_enriched" sheetId="19" r:id="rId11"/>
    <sheet name="operations_summary" sheetId="20" r:id="rId12"/>
  </sheets>
  <definedNames>
    <definedName name="_xlnm._FilterDatabase" localSheetId="4" hidden="1">orders_clean!$H$1:$H$521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9" l="1" a="1"/>
  <c r="F3" i="19" s="1"/>
  <c r="F4" i="19" a="1"/>
  <c r="F4" i="19" s="1"/>
  <c r="F5" i="19" a="1"/>
  <c r="F5" i="19" s="1"/>
  <c r="F6" i="19" a="1"/>
  <c r="F6" i="19" s="1"/>
  <c r="F7" i="19" a="1"/>
  <c r="F7" i="19"/>
  <c r="F8" i="19" a="1"/>
  <c r="F8" i="19"/>
  <c r="F9" i="19" a="1"/>
  <c r="F9" i="19" s="1"/>
  <c r="F10" i="19" a="1"/>
  <c r="F10" i="19" s="1"/>
  <c r="F11" i="19" a="1"/>
  <c r="F11" i="19" s="1"/>
  <c r="F12" i="19" a="1"/>
  <c r="F12" i="19" s="1"/>
  <c r="F13" i="19" a="1"/>
  <c r="F13" i="19"/>
  <c r="F14" i="19" a="1"/>
  <c r="F14" i="19"/>
  <c r="F15" i="19" a="1"/>
  <c r="F15" i="19" s="1"/>
  <c r="F16" i="19" a="1"/>
  <c r="F16" i="19" s="1"/>
  <c r="F17" i="19" a="1"/>
  <c r="F17" i="19" s="1"/>
  <c r="F18" i="19" a="1"/>
  <c r="F18" i="19" s="1"/>
  <c r="F19" i="19" a="1"/>
  <c r="F19" i="19"/>
  <c r="F20" i="19" a="1"/>
  <c r="F20" i="19"/>
  <c r="F21" i="19" a="1"/>
  <c r="F21" i="19" s="1"/>
  <c r="F22" i="19" a="1"/>
  <c r="F22" i="19" s="1"/>
  <c r="F23" i="19" a="1"/>
  <c r="F23" i="19" s="1"/>
  <c r="F24" i="19" a="1"/>
  <c r="F24" i="19" s="1"/>
  <c r="F25" i="19" a="1"/>
  <c r="F25" i="19"/>
  <c r="F26" i="19" a="1"/>
  <c r="F26" i="19"/>
  <c r="F27" i="19" a="1"/>
  <c r="F27" i="19" s="1"/>
  <c r="F28" i="19" a="1"/>
  <c r="F28" i="19" s="1"/>
  <c r="F29" i="19" a="1"/>
  <c r="F29" i="19" s="1"/>
  <c r="F30" i="19" a="1"/>
  <c r="F30" i="19" s="1"/>
  <c r="F31" i="19" a="1"/>
  <c r="F31" i="19"/>
  <c r="F32" i="19" a="1"/>
  <c r="F32" i="19"/>
  <c r="F33" i="19" a="1"/>
  <c r="F33" i="19" s="1"/>
  <c r="F34" i="19" a="1"/>
  <c r="F34" i="19" s="1"/>
  <c r="F35" i="19" a="1"/>
  <c r="F35" i="19" s="1"/>
  <c r="F36" i="19" a="1"/>
  <c r="F36" i="19" s="1"/>
  <c r="F37" i="19" a="1"/>
  <c r="F37" i="19"/>
  <c r="F38" i="19" a="1"/>
  <c r="F38" i="19"/>
  <c r="F39" i="19" a="1"/>
  <c r="F39" i="19" s="1"/>
  <c r="F40" i="19" a="1"/>
  <c r="F40" i="19" s="1"/>
  <c r="F41" i="19" a="1"/>
  <c r="F41" i="19" s="1"/>
  <c r="F42" i="19" a="1"/>
  <c r="F42" i="19" s="1"/>
  <c r="F43" i="19" a="1"/>
  <c r="F43" i="19"/>
  <c r="F44" i="19" a="1"/>
  <c r="F44" i="19"/>
  <c r="F45" i="19" a="1"/>
  <c r="F45" i="19" s="1"/>
  <c r="F46" i="19" a="1"/>
  <c r="F46" i="19" s="1"/>
  <c r="F47" i="19" a="1"/>
  <c r="F47" i="19" s="1"/>
  <c r="F48" i="19" a="1"/>
  <c r="F48" i="19" s="1"/>
  <c r="F49" i="19" a="1"/>
  <c r="F49" i="19"/>
  <c r="F50" i="19" a="1"/>
  <c r="F50" i="19"/>
  <c r="F51" i="19" a="1"/>
  <c r="F51" i="19" s="1"/>
  <c r="F52" i="19" a="1"/>
  <c r="F52" i="19" s="1"/>
  <c r="F53" i="19" a="1"/>
  <c r="F53" i="19" s="1"/>
  <c r="F54" i="19" a="1"/>
  <c r="F54" i="19" s="1"/>
  <c r="F55" i="19" a="1"/>
  <c r="F55" i="19"/>
  <c r="F56" i="19" a="1"/>
  <c r="F56" i="19"/>
  <c r="F57" i="19" a="1"/>
  <c r="F57" i="19" s="1"/>
  <c r="F58" i="19" a="1"/>
  <c r="F58" i="19" s="1"/>
  <c r="F59" i="19" a="1"/>
  <c r="F59" i="19" s="1"/>
  <c r="F60" i="19" a="1"/>
  <c r="F60" i="19" s="1"/>
  <c r="F61" i="19" a="1"/>
  <c r="F61" i="19"/>
  <c r="F62" i="19" a="1"/>
  <c r="F62" i="19"/>
  <c r="F63" i="19" a="1"/>
  <c r="F63" i="19" s="1"/>
  <c r="F64" i="19" a="1"/>
  <c r="F64" i="19" s="1"/>
  <c r="F65" i="19" a="1"/>
  <c r="F65" i="19" s="1"/>
  <c r="F66" i="19" a="1"/>
  <c r="F66" i="19" s="1"/>
  <c r="F67" i="19" a="1"/>
  <c r="F67" i="19"/>
  <c r="F68" i="19" a="1"/>
  <c r="F68" i="19"/>
  <c r="F69" i="19" a="1"/>
  <c r="F69" i="19" s="1"/>
  <c r="F70" i="19" a="1"/>
  <c r="F70" i="19" s="1"/>
  <c r="F71" i="19" a="1"/>
  <c r="F71" i="19" s="1"/>
  <c r="F72" i="19" a="1"/>
  <c r="F72" i="19" s="1"/>
  <c r="F73" i="19" a="1"/>
  <c r="F73" i="19"/>
  <c r="F74" i="19" a="1"/>
  <c r="F74" i="19"/>
  <c r="F75" i="19" a="1"/>
  <c r="F75" i="19" s="1"/>
  <c r="F76" i="19" a="1"/>
  <c r="F76" i="19" s="1"/>
  <c r="F77" i="19" a="1"/>
  <c r="F77" i="19" s="1"/>
  <c r="F78" i="19" a="1"/>
  <c r="F78" i="19" s="1"/>
  <c r="F79" i="19" a="1"/>
  <c r="F79" i="19"/>
  <c r="F80" i="19" a="1"/>
  <c r="F80" i="19"/>
  <c r="F81" i="19" a="1"/>
  <c r="F81" i="19" s="1"/>
  <c r="F82" i="19" a="1"/>
  <c r="F82" i="19" s="1"/>
  <c r="F83" i="19" a="1"/>
  <c r="F83" i="19" s="1"/>
  <c r="F84" i="19" a="1"/>
  <c r="F84" i="19" s="1"/>
  <c r="F85" i="19" a="1"/>
  <c r="F85" i="19"/>
  <c r="F86" i="19" a="1"/>
  <c r="F86" i="19"/>
  <c r="F87" i="19" a="1"/>
  <c r="F87" i="19" s="1"/>
  <c r="F88" i="19" a="1"/>
  <c r="F88" i="19" s="1"/>
  <c r="F89" i="19" a="1"/>
  <c r="F89" i="19" s="1"/>
  <c r="F90" i="19" a="1"/>
  <c r="F90" i="19" s="1"/>
  <c r="F91" i="19" a="1"/>
  <c r="F91" i="19"/>
  <c r="F92" i="19" a="1"/>
  <c r="F92" i="19"/>
  <c r="F93" i="19" a="1"/>
  <c r="F93" i="19" s="1"/>
  <c r="F94" i="19" a="1"/>
  <c r="F94" i="19" s="1"/>
  <c r="F95" i="19" a="1"/>
  <c r="F95" i="19" s="1"/>
  <c r="F96" i="19" a="1"/>
  <c r="F96" i="19" s="1"/>
  <c r="F97" i="19" a="1"/>
  <c r="F97" i="19"/>
  <c r="F98" i="19" a="1"/>
  <c r="F98" i="19"/>
  <c r="F99" i="19" a="1"/>
  <c r="F99" i="19" s="1"/>
  <c r="F100" i="19" a="1"/>
  <c r="F100" i="19" s="1"/>
  <c r="F101" i="19" a="1"/>
  <c r="F101" i="19" s="1"/>
  <c r="F102" i="19" a="1"/>
  <c r="F102" i="19" s="1"/>
  <c r="F103" i="19" a="1"/>
  <c r="F103" i="19"/>
  <c r="F104" i="19" a="1"/>
  <c r="F104" i="19"/>
  <c r="F105" i="19" a="1"/>
  <c r="F105" i="19" s="1"/>
  <c r="F106" i="19" a="1"/>
  <c r="F106" i="19" s="1"/>
  <c r="F107" i="19" a="1"/>
  <c r="F107" i="19" s="1"/>
  <c r="F108" i="19" a="1"/>
  <c r="F108" i="19" s="1"/>
  <c r="F109" i="19" a="1"/>
  <c r="F109" i="19"/>
  <c r="F110" i="19" a="1"/>
  <c r="F110" i="19"/>
  <c r="F111" i="19" a="1"/>
  <c r="F111" i="19" s="1"/>
  <c r="F112" i="19" a="1"/>
  <c r="F112" i="19" s="1"/>
  <c r="F113" i="19" a="1"/>
  <c r="F113" i="19" s="1"/>
  <c r="F114" i="19" a="1"/>
  <c r="F114" i="19" s="1"/>
  <c r="F115" i="19" a="1"/>
  <c r="F115" i="19"/>
  <c r="F116" i="19" a="1"/>
  <c r="F116" i="19"/>
  <c r="F117" i="19" a="1"/>
  <c r="F117" i="19" s="1"/>
  <c r="F118" i="19" a="1"/>
  <c r="F118" i="19" s="1"/>
  <c r="F119" i="19" a="1"/>
  <c r="F119" i="19" s="1"/>
  <c r="F120" i="19" a="1"/>
  <c r="F120" i="19" s="1"/>
  <c r="F121" i="19" a="1"/>
  <c r="F121" i="19"/>
  <c r="F122" i="19" a="1"/>
  <c r="F122" i="19"/>
  <c r="F123" i="19" a="1"/>
  <c r="F123" i="19" s="1"/>
  <c r="F124" i="19" a="1"/>
  <c r="F124" i="19" s="1"/>
  <c r="F125" i="19" a="1"/>
  <c r="F125" i="19" s="1"/>
  <c r="F126" i="19" a="1"/>
  <c r="F126" i="19" s="1"/>
  <c r="F127" i="19" a="1"/>
  <c r="F127" i="19"/>
  <c r="F128" i="19" a="1"/>
  <c r="F128" i="19"/>
  <c r="F129" i="19" a="1"/>
  <c r="F129" i="19" s="1"/>
  <c r="F130" i="19" a="1"/>
  <c r="F130" i="19" s="1"/>
  <c r="F131" i="19" a="1"/>
  <c r="F131" i="19" s="1"/>
  <c r="F132" i="19" a="1"/>
  <c r="F132" i="19" s="1"/>
  <c r="F133" i="19" a="1"/>
  <c r="F133" i="19"/>
  <c r="F134" i="19" a="1"/>
  <c r="F134" i="19"/>
  <c r="F135" i="19" a="1"/>
  <c r="F135" i="19" s="1"/>
  <c r="F136" i="19" a="1"/>
  <c r="F136" i="19" s="1"/>
  <c r="F137" i="19" a="1"/>
  <c r="F137" i="19" s="1"/>
  <c r="F138" i="19" a="1"/>
  <c r="F138" i="19" s="1"/>
  <c r="F139" i="19" a="1"/>
  <c r="F139" i="19"/>
  <c r="F140" i="19" a="1"/>
  <c r="F140" i="19"/>
  <c r="F141" i="19" a="1"/>
  <c r="F141" i="19" s="1"/>
  <c r="F142" i="19" a="1"/>
  <c r="F142" i="19" s="1"/>
  <c r="F143" i="19" a="1"/>
  <c r="F143" i="19" s="1"/>
  <c r="F144" i="19" a="1"/>
  <c r="F144" i="19" s="1"/>
  <c r="F145" i="19" a="1"/>
  <c r="F145" i="19"/>
  <c r="F146" i="19" a="1"/>
  <c r="F146" i="19"/>
  <c r="F147" i="19" a="1"/>
  <c r="F147" i="19" s="1"/>
  <c r="F148" i="19" a="1"/>
  <c r="F148" i="19" s="1"/>
  <c r="F149" i="19" a="1"/>
  <c r="F149" i="19" s="1"/>
  <c r="F150" i="19" a="1"/>
  <c r="F150" i="19" s="1"/>
  <c r="F151" i="19" a="1"/>
  <c r="F151" i="19"/>
  <c r="F152" i="19" a="1"/>
  <c r="F152" i="19"/>
  <c r="F153" i="19" a="1"/>
  <c r="F153" i="19" s="1"/>
  <c r="F154" i="19" a="1"/>
  <c r="F154" i="19" s="1"/>
  <c r="F155" i="19" a="1"/>
  <c r="F155" i="19" s="1"/>
  <c r="F156" i="19" a="1"/>
  <c r="F156" i="19" s="1"/>
  <c r="F157" i="19" a="1"/>
  <c r="F157" i="19"/>
  <c r="F158" i="19" a="1"/>
  <c r="F158" i="19"/>
  <c r="F159" i="19" a="1"/>
  <c r="F159" i="19" s="1"/>
  <c r="F160" i="19" a="1"/>
  <c r="F160" i="19" s="1"/>
  <c r="F161" i="19" a="1"/>
  <c r="F161" i="19" s="1"/>
  <c r="F162" i="19" a="1"/>
  <c r="F162" i="19" s="1"/>
  <c r="F163" i="19" a="1"/>
  <c r="F163" i="19"/>
  <c r="F164" i="19" a="1"/>
  <c r="F164" i="19"/>
  <c r="F165" i="19" a="1"/>
  <c r="F165" i="19" s="1"/>
  <c r="F166" i="19" a="1"/>
  <c r="F166" i="19" s="1"/>
  <c r="F167" i="19" a="1"/>
  <c r="F167" i="19" s="1"/>
  <c r="F168" i="19" a="1"/>
  <c r="F168" i="19" s="1"/>
  <c r="F169" i="19" a="1"/>
  <c r="F169" i="19"/>
  <c r="F170" i="19" a="1"/>
  <c r="F170" i="19"/>
  <c r="F171" i="19" a="1"/>
  <c r="F171" i="19" s="1"/>
  <c r="F172" i="19" a="1"/>
  <c r="F172" i="19" s="1"/>
  <c r="F173" i="19" a="1"/>
  <c r="F173" i="19" s="1"/>
  <c r="F174" i="19" a="1"/>
  <c r="F174" i="19" s="1"/>
  <c r="F175" i="19" a="1"/>
  <c r="F175" i="19"/>
  <c r="F176" i="19" a="1"/>
  <c r="F176" i="19"/>
  <c r="F177" i="19" a="1"/>
  <c r="F177" i="19" s="1"/>
  <c r="F178" i="19" a="1"/>
  <c r="F178" i="19" s="1"/>
  <c r="F179" i="19" a="1"/>
  <c r="F179" i="19" s="1"/>
  <c r="F180" i="19" a="1"/>
  <c r="F180" i="19" s="1"/>
  <c r="F181" i="19" a="1"/>
  <c r="F181" i="19"/>
  <c r="F182" i="19" a="1"/>
  <c r="F182" i="19"/>
  <c r="F183" i="19" a="1"/>
  <c r="F183" i="19" s="1"/>
  <c r="F184" i="19" a="1"/>
  <c r="F184" i="19" s="1"/>
  <c r="F185" i="19" a="1"/>
  <c r="F185" i="19" s="1"/>
  <c r="F186" i="19" a="1"/>
  <c r="F186" i="19" s="1"/>
  <c r="F187" i="19" a="1"/>
  <c r="F187" i="19"/>
  <c r="F188" i="19" a="1"/>
  <c r="F188" i="19"/>
  <c r="F189" i="19" a="1"/>
  <c r="F189" i="19" s="1"/>
  <c r="F190" i="19" a="1"/>
  <c r="F190" i="19" s="1"/>
  <c r="F191" i="19" a="1"/>
  <c r="F191" i="19" s="1"/>
  <c r="F192" i="19" a="1"/>
  <c r="F192" i="19" s="1"/>
  <c r="F193" i="19" a="1"/>
  <c r="F193" i="19"/>
  <c r="F194" i="19" a="1"/>
  <c r="F194" i="19"/>
  <c r="F195" i="19" a="1"/>
  <c r="F195" i="19" s="1"/>
  <c r="F196" i="19" a="1"/>
  <c r="F196" i="19" s="1"/>
  <c r="F197" i="19" a="1"/>
  <c r="F197" i="19" s="1"/>
  <c r="F198" i="19" a="1"/>
  <c r="F198" i="19" s="1"/>
  <c r="F199" i="19" a="1"/>
  <c r="F199" i="19"/>
  <c r="F200" i="19" a="1"/>
  <c r="F200" i="19"/>
  <c r="F201" i="19" a="1"/>
  <c r="F201" i="19" s="1"/>
  <c r="F202" i="19" a="1"/>
  <c r="F202" i="19" s="1"/>
  <c r="F203" i="19" a="1"/>
  <c r="F203" i="19" s="1"/>
  <c r="F204" i="19" a="1"/>
  <c r="F204" i="19" s="1"/>
  <c r="F205" i="19" a="1"/>
  <c r="F205" i="19"/>
  <c r="F206" i="19" a="1"/>
  <c r="F206" i="19"/>
  <c r="F207" i="19" a="1"/>
  <c r="F207" i="19" s="1"/>
  <c r="F208" i="19" a="1"/>
  <c r="F208" i="19" s="1"/>
  <c r="F209" i="19" a="1"/>
  <c r="F209" i="19" s="1"/>
  <c r="F210" i="19" a="1"/>
  <c r="F210" i="19" s="1"/>
  <c r="F211" i="19" a="1"/>
  <c r="F211" i="19"/>
  <c r="F212" i="19" a="1"/>
  <c r="F212" i="19"/>
  <c r="F213" i="19" a="1"/>
  <c r="F213" i="19" s="1"/>
  <c r="F214" i="19" a="1"/>
  <c r="F214" i="19" s="1"/>
  <c r="F215" i="19" a="1"/>
  <c r="F215" i="19" s="1"/>
  <c r="F216" i="19" a="1"/>
  <c r="F216" i="19" s="1"/>
  <c r="F217" i="19" a="1"/>
  <c r="F217" i="19"/>
  <c r="F218" i="19" a="1"/>
  <c r="F218" i="19"/>
  <c r="F219" i="19" a="1"/>
  <c r="F219" i="19" s="1"/>
  <c r="F220" i="19" a="1"/>
  <c r="F220" i="19" s="1"/>
  <c r="F221" i="19" a="1"/>
  <c r="F221" i="19" s="1"/>
  <c r="F222" i="19" a="1"/>
  <c r="F222" i="19" s="1"/>
  <c r="F223" i="19" a="1"/>
  <c r="F223" i="19"/>
  <c r="F224" i="19" a="1"/>
  <c r="F224" i="19"/>
  <c r="F225" i="19" a="1"/>
  <c r="F225" i="19" s="1"/>
  <c r="F226" i="19" a="1"/>
  <c r="F226" i="19" s="1"/>
  <c r="F227" i="19" a="1"/>
  <c r="F227" i="19" s="1"/>
  <c r="F228" i="19" a="1"/>
  <c r="F228" i="19" s="1"/>
  <c r="F229" i="19" a="1"/>
  <c r="F229" i="19"/>
  <c r="F230" i="19" a="1"/>
  <c r="F230" i="19"/>
  <c r="F231" i="19" a="1"/>
  <c r="F231" i="19" s="1"/>
  <c r="F232" i="19" a="1"/>
  <c r="F232" i="19" s="1"/>
  <c r="F233" i="19" a="1"/>
  <c r="F233" i="19" s="1"/>
  <c r="F234" i="19" a="1"/>
  <c r="F234" i="19" s="1"/>
  <c r="F235" i="19" a="1"/>
  <c r="F235" i="19"/>
  <c r="F236" i="19" a="1"/>
  <c r="F236" i="19"/>
  <c r="F237" i="19" a="1"/>
  <c r="F237" i="19" s="1"/>
  <c r="F238" i="19" a="1"/>
  <c r="F238" i="19" s="1"/>
  <c r="F239" i="19" a="1"/>
  <c r="F239" i="19" s="1"/>
  <c r="F240" i="19" a="1"/>
  <c r="F240" i="19" s="1"/>
  <c r="F241" i="19" a="1"/>
  <c r="F241" i="19"/>
  <c r="F242" i="19" a="1"/>
  <c r="F242" i="19"/>
  <c r="F243" i="19" a="1"/>
  <c r="F243" i="19" s="1"/>
  <c r="F244" i="19" a="1"/>
  <c r="F244" i="19" s="1"/>
  <c r="F245" i="19" a="1"/>
  <c r="F245" i="19" s="1"/>
  <c r="F246" i="19" a="1"/>
  <c r="F246" i="19" s="1"/>
  <c r="F247" i="19" a="1"/>
  <c r="F247" i="19"/>
  <c r="F248" i="19" a="1"/>
  <c r="F248" i="19"/>
  <c r="F249" i="19" a="1"/>
  <c r="F249" i="19" s="1"/>
  <c r="F250" i="19" a="1"/>
  <c r="F250" i="19" s="1"/>
  <c r="F251" i="19" a="1"/>
  <c r="F251" i="19" s="1"/>
  <c r="F252" i="19" a="1"/>
  <c r="F252" i="19" s="1"/>
  <c r="F253" i="19" a="1"/>
  <c r="F253" i="19"/>
  <c r="F254" i="19" a="1"/>
  <c r="F254" i="19"/>
  <c r="F255" i="19" a="1"/>
  <c r="F255" i="19" s="1"/>
  <c r="F256" i="19" a="1"/>
  <c r="F256" i="19" s="1"/>
  <c r="F257" i="19" a="1"/>
  <c r="F257" i="19" s="1"/>
  <c r="F258" i="19" a="1"/>
  <c r="F258" i="19" s="1"/>
  <c r="F259" i="19" a="1"/>
  <c r="F259" i="19"/>
  <c r="F260" i="19" a="1"/>
  <c r="F260" i="19"/>
  <c r="F261" i="19" a="1"/>
  <c r="F261" i="19" s="1"/>
  <c r="F262" i="19" a="1"/>
  <c r="F262" i="19" s="1"/>
  <c r="F263" i="19" a="1"/>
  <c r="F263" i="19" s="1"/>
  <c r="F264" i="19" a="1"/>
  <c r="F264" i="19" s="1"/>
  <c r="F265" i="19" a="1"/>
  <c r="F265" i="19"/>
  <c r="F266" i="19" a="1"/>
  <c r="F266" i="19"/>
  <c r="F267" i="19" a="1"/>
  <c r="F267" i="19" s="1"/>
  <c r="F268" i="19" a="1"/>
  <c r="F268" i="19" s="1"/>
  <c r="F269" i="19" a="1"/>
  <c r="F269" i="19" s="1"/>
  <c r="F270" i="19" a="1"/>
  <c r="F270" i="19" s="1"/>
  <c r="F271" i="19" a="1"/>
  <c r="F271" i="19"/>
  <c r="F272" i="19" a="1"/>
  <c r="F272" i="19"/>
  <c r="F273" i="19" a="1"/>
  <c r="F273" i="19" s="1"/>
  <c r="F274" i="19" a="1"/>
  <c r="F274" i="19" s="1"/>
  <c r="F275" i="19" a="1"/>
  <c r="F275" i="19" s="1"/>
  <c r="F276" i="19" a="1"/>
  <c r="F276" i="19" s="1"/>
  <c r="F277" i="19" a="1"/>
  <c r="F277" i="19"/>
  <c r="F278" i="19" a="1"/>
  <c r="F278" i="19"/>
  <c r="F279" i="19" a="1"/>
  <c r="F279" i="19" s="1"/>
  <c r="F280" i="19" a="1"/>
  <c r="F280" i="19" s="1"/>
  <c r="F281" i="19" a="1"/>
  <c r="F281" i="19" s="1"/>
  <c r="F282" i="19" a="1"/>
  <c r="F282" i="19" s="1"/>
  <c r="F283" i="19" a="1"/>
  <c r="F283" i="19"/>
  <c r="F284" i="19" a="1"/>
  <c r="F284" i="19"/>
  <c r="F285" i="19" a="1"/>
  <c r="F285" i="19" s="1"/>
  <c r="F286" i="19" a="1"/>
  <c r="F286" i="19" s="1"/>
  <c r="F287" i="19" a="1"/>
  <c r="F287" i="19" s="1"/>
  <c r="F288" i="19" a="1"/>
  <c r="F288" i="19" s="1"/>
  <c r="F289" i="19" a="1"/>
  <c r="F289" i="19"/>
  <c r="F290" i="19" a="1"/>
  <c r="F290" i="19"/>
  <c r="F291" i="19" a="1"/>
  <c r="F291" i="19" s="1"/>
  <c r="F292" i="19" a="1"/>
  <c r="F292" i="19" s="1"/>
  <c r="F293" i="19" a="1"/>
  <c r="F293" i="19" s="1"/>
  <c r="F294" i="19" a="1"/>
  <c r="F294" i="19" s="1"/>
  <c r="F295" i="19" a="1"/>
  <c r="F295" i="19"/>
  <c r="F296" i="19" a="1"/>
  <c r="F296" i="19"/>
  <c r="F297" i="19" a="1"/>
  <c r="F297" i="19" s="1"/>
  <c r="F298" i="19" a="1"/>
  <c r="F298" i="19" s="1"/>
  <c r="F299" i="19" a="1"/>
  <c r="F299" i="19" s="1"/>
  <c r="F300" i="19" a="1"/>
  <c r="F300" i="19" s="1"/>
  <c r="F301" i="19" a="1"/>
  <c r="F301" i="19"/>
  <c r="F302" i="19" a="1"/>
  <c r="F302" i="19"/>
  <c r="F303" i="19" a="1"/>
  <c r="F303" i="19" s="1"/>
  <c r="F304" i="19" a="1"/>
  <c r="F304" i="19" s="1"/>
  <c r="F305" i="19" a="1"/>
  <c r="F305" i="19" s="1"/>
  <c r="F306" i="19" a="1"/>
  <c r="F306" i="19" s="1"/>
  <c r="F307" i="19" a="1"/>
  <c r="F307" i="19"/>
  <c r="F308" i="19" a="1"/>
  <c r="F308" i="19"/>
  <c r="F309" i="19" a="1"/>
  <c r="F309" i="19" s="1"/>
  <c r="F310" i="19" a="1"/>
  <c r="F310" i="19" s="1"/>
  <c r="F311" i="19" a="1"/>
  <c r="F311" i="19" s="1"/>
  <c r="F312" i="19" a="1"/>
  <c r="F312" i="19" s="1"/>
  <c r="F313" i="19" a="1"/>
  <c r="F313" i="19"/>
  <c r="F314" i="19" a="1"/>
  <c r="F314" i="19"/>
  <c r="F315" i="19" a="1"/>
  <c r="F315" i="19" s="1"/>
  <c r="F316" i="19" a="1"/>
  <c r="F316" i="19" s="1"/>
  <c r="F317" i="19" a="1"/>
  <c r="F317" i="19" s="1"/>
  <c r="F318" i="19" a="1"/>
  <c r="F318" i="19" s="1"/>
  <c r="F319" i="19" a="1"/>
  <c r="F319" i="19"/>
  <c r="F320" i="19" a="1"/>
  <c r="F320" i="19"/>
  <c r="F321" i="19" a="1"/>
  <c r="F321" i="19" s="1"/>
  <c r="F322" i="19" a="1"/>
  <c r="F322" i="19" s="1"/>
  <c r="F323" i="19" a="1"/>
  <c r="F323" i="19" s="1"/>
  <c r="F324" i="19" a="1"/>
  <c r="F324" i="19" s="1"/>
  <c r="F325" i="19" a="1"/>
  <c r="F325" i="19"/>
  <c r="F326" i="19" a="1"/>
  <c r="F326" i="19"/>
  <c r="F327" i="19" a="1"/>
  <c r="F327" i="19" s="1"/>
  <c r="F328" i="19" a="1"/>
  <c r="F328" i="19" s="1"/>
  <c r="F329" i="19" a="1"/>
  <c r="F329" i="19" s="1"/>
  <c r="F330" i="19" a="1"/>
  <c r="F330" i="19" s="1"/>
  <c r="F331" i="19" a="1"/>
  <c r="F331" i="19"/>
  <c r="F332" i="19" a="1"/>
  <c r="F332" i="19"/>
  <c r="F333" i="19" a="1"/>
  <c r="F333" i="19" s="1"/>
  <c r="F334" i="19" a="1"/>
  <c r="F334" i="19" s="1"/>
  <c r="F335" i="19" a="1"/>
  <c r="F335" i="19" s="1"/>
  <c r="F336" i="19" a="1"/>
  <c r="F336" i="19" s="1"/>
  <c r="F337" i="19" a="1"/>
  <c r="F337" i="19"/>
  <c r="F338" i="19" a="1"/>
  <c r="F338" i="19"/>
  <c r="F339" i="19" a="1"/>
  <c r="F339" i="19" s="1"/>
  <c r="F340" i="19" a="1"/>
  <c r="F340" i="19" s="1"/>
  <c r="F341" i="19" a="1"/>
  <c r="F341" i="19" s="1"/>
  <c r="F342" i="19" a="1"/>
  <c r="F342" i="19" s="1"/>
  <c r="F343" i="19" a="1"/>
  <c r="F343" i="19"/>
  <c r="F344" i="19" a="1"/>
  <c r="F344" i="19"/>
  <c r="F345" i="19" a="1"/>
  <c r="F345" i="19" s="1"/>
  <c r="F346" i="19" a="1"/>
  <c r="F346" i="19" s="1"/>
  <c r="F347" i="19" a="1"/>
  <c r="F347" i="19" s="1"/>
  <c r="F348" i="19" a="1"/>
  <c r="F348" i="19" s="1"/>
  <c r="F349" i="19" a="1"/>
  <c r="F349" i="19"/>
  <c r="F350" i="19" a="1"/>
  <c r="F350" i="19"/>
  <c r="F351" i="19" a="1"/>
  <c r="F351" i="19" s="1"/>
  <c r="F352" i="19" a="1"/>
  <c r="F352" i="19" s="1"/>
  <c r="F353" i="19" a="1"/>
  <c r="F353" i="19" s="1"/>
  <c r="F354" i="19" a="1"/>
  <c r="F354" i="19" s="1"/>
  <c r="F355" i="19" a="1"/>
  <c r="F355" i="19"/>
  <c r="F356" i="19" a="1"/>
  <c r="F356" i="19"/>
  <c r="F357" i="19" a="1"/>
  <c r="F357" i="19" s="1"/>
  <c r="F358" i="19" a="1"/>
  <c r="F358" i="19" s="1"/>
  <c r="F359" i="19" a="1"/>
  <c r="F359" i="19" s="1"/>
  <c r="F360" i="19" a="1"/>
  <c r="F360" i="19" s="1"/>
  <c r="F361" i="19" a="1"/>
  <c r="F361" i="19"/>
  <c r="F362" i="19" a="1"/>
  <c r="F362" i="19"/>
  <c r="F363" i="19" a="1"/>
  <c r="F363" i="19" s="1"/>
  <c r="F364" i="19" a="1"/>
  <c r="F364" i="19" s="1"/>
  <c r="F365" i="19" a="1"/>
  <c r="F365" i="19" s="1"/>
  <c r="F366" i="19" a="1"/>
  <c r="F366" i="19" s="1"/>
  <c r="F367" i="19" a="1"/>
  <c r="F367" i="19"/>
  <c r="F368" i="19" a="1"/>
  <c r="F368" i="19"/>
  <c r="F369" i="19" a="1"/>
  <c r="F369" i="19" s="1"/>
  <c r="F370" i="19" a="1"/>
  <c r="F370" i="19" s="1"/>
  <c r="F371" i="19" a="1"/>
  <c r="F371" i="19" s="1"/>
  <c r="F372" i="19" a="1"/>
  <c r="F372" i="19" s="1"/>
  <c r="F373" i="19" a="1"/>
  <c r="F373" i="19"/>
  <c r="F374" i="19" a="1"/>
  <c r="F374" i="19"/>
  <c r="F375" i="19" a="1"/>
  <c r="F375" i="19" s="1"/>
  <c r="F376" i="19" a="1"/>
  <c r="F376" i="19" s="1"/>
  <c r="F377" i="19" a="1"/>
  <c r="F377" i="19" s="1"/>
  <c r="F378" i="19" a="1"/>
  <c r="F378" i="19" s="1"/>
  <c r="F379" i="19" a="1"/>
  <c r="F379" i="19"/>
  <c r="F380" i="19" a="1"/>
  <c r="F380" i="19"/>
  <c r="F381" i="19" a="1"/>
  <c r="F381" i="19" s="1"/>
  <c r="F382" i="19" a="1"/>
  <c r="F382" i="19" s="1"/>
  <c r="F383" i="19" a="1"/>
  <c r="F383" i="19" s="1"/>
  <c r="F384" i="19" a="1"/>
  <c r="F384" i="19" s="1"/>
  <c r="F385" i="19" a="1"/>
  <c r="F385" i="19"/>
  <c r="F386" i="19" a="1"/>
  <c r="F386" i="19"/>
  <c r="F387" i="19" a="1"/>
  <c r="F387" i="19" s="1"/>
  <c r="F388" i="19" a="1"/>
  <c r="F388" i="19" s="1"/>
  <c r="F389" i="19" a="1"/>
  <c r="F389" i="19" s="1"/>
  <c r="F390" i="19" a="1"/>
  <c r="F390" i="19" s="1"/>
  <c r="F391" i="19" a="1"/>
  <c r="F391" i="19"/>
  <c r="F392" i="19" a="1"/>
  <c r="F392" i="19"/>
  <c r="F393" i="19" a="1"/>
  <c r="F393" i="19" s="1"/>
  <c r="F394" i="19" a="1"/>
  <c r="F394" i="19" s="1"/>
  <c r="F395" i="19" a="1"/>
  <c r="F395" i="19" s="1"/>
  <c r="F396" i="19" a="1"/>
  <c r="F396" i="19" s="1"/>
  <c r="F397" i="19" a="1"/>
  <c r="F397" i="19"/>
  <c r="F398" i="19" a="1"/>
  <c r="F398" i="19"/>
  <c r="F399" i="19" a="1"/>
  <c r="F399" i="19" s="1"/>
  <c r="F400" i="19" a="1"/>
  <c r="F400" i="19" s="1"/>
  <c r="F401" i="19" a="1"/>
  <c r="F401" i="19" s="1"/>
  <c r="F402" i="19" a="1"/>
  <c r="F402" i="19" s="1"/>
  <c r="F403" i="19" a="1"/>
  <c r="F403" i="19"/>
  <c r="F404" i="19" a="1"/>
  <c r="F404" i="19"/>
  <c r="F405" i="19" a="1"/>
  <c r="F405" i="19" s="1"/>
  <c r="F406" i="19" a="1"/>
  <c r="F406" i="19" s="1"/>
  <c r="F407" i="19" a="1"/>
  <c r="F407" i="19" s="1"/>
  <c r="F408" i="19" a="1"/>
  <c r="F408" i="19" s="1"/>
  <c r="F409" i="19" a="1"/>
  <c r="F409" i="19"/>
  <c r="F410" i="19" a="1"/>
  <c r="F410" i="19"/>
  <c r="F411" i="19" a="1"/>
  <c r="F411" i="19" s="1"/>
  <c r="F412" i="19" a="1"/>
  <c r="F412" i="19" s="1"/>
  <c r="F413" i="19" a="1"/>
  <c r="F413" i="19" s="1"/>
  <c r="F414" i="19" a="1"/>
  <c r="F414" i="19" s="1"/>
  <c r="F415" i="19" a="1"/>
  <c r="F415" i="19"/>
  <c r="F416" i="19" a="1"/>
  <c r="F416" i="19"/>
  <c r="F417" i="19" a="1"/>
  <c r="F417" i="19" s="1"/>
  <c r="F418" i="19" a="1"/>
  <c r="F418" i="19" s="1"/>
  <c r="F419" i="19" a="1"/>
  <c r="F419" i="19" s="1"/>
  <c r="F420" i="19" a="1"/>
  <c r="F420" i="19" s="1"/>
  <c r="F421" i="19" a="1"/>
  <c r="F421" i="19"/>
  <c r="F422" i="19" a="1"/>
  <c r="F422" i="19"/>
  <c r="F423" i="19" a="1"/>
  <c r="F423" i="19" s="1"/>
  <c r="F424" i="19" a="1"/>
  <c r="F424" i="19" s="1"/>
  <c r="F425" i="19" a="1"/>
  <c r="F425" i="19" s="1"/>
  <c r="F426" i="19" a="1"/>
  <c r="F426" i="19" s="1"/>
  <c r="F427" i="19" a="1"/>
  <c r="F427" i="19"/>
  <c r="F428" i="19" a="1"/>
  <c r="F428" i="19"/>
  <c r="F429" i="19" a="1"/>
  <c r="F429" i="19" s="1"/>
  <c r="F430" i="19" a="1"/>
  <c r="F430" i="19" s="1"/>
  <c r="F431" i="19" a="1"/>
  <c r="F431" i="19" s="1"/>
  <c r="F432" i="19" a="1"/>
  <c r="F432" i="19" s="1"/>
  <c r="F433" i="19" a="1"/>
  <c r="F433" i="19"/>
  <c r="F434" i="19" a="1"/>
  <c r="F434" i="19"/>
  <c r="F435" i="19" a="1"/>
  <c r="F435" i="19" s="1"/>
  <c r="F436" i="19" a="1"/>
  <c r="F436" i="19" s="1"/>
  <c r="F437" i="19" a="1"/>
  <c r="F437" i="19" s="1"/>
  <c r="F438" i="19" a="1"/>
  <c r="F438" i="19" s="1"/>
  <c r="F439" i="19" a="1"/>
  <c r="F439" i="19"/>
  <c r="F440" i="19" a="1"/>
  <c r="F440" i="19"/>
  <c r="F441" i="19" a="1"/>
  <c r="F441" i="19" s="1"/>
  <c r="F442" i="19" a="1"/>
  <c r="F442" i="19" s="1"/>
  <c r="F443" i="19" a="1"/>
  <c r="F443" i="19" s="1"/>
  <c r="F444" i="19" a="1"/>
  <c r="F444" i="19" s="1"/>
  <c r="F445" i="19" a="1"/>
  <c r="F445" i="19"/>
  <c r="F446" i="19" a="1"/>
  <c r="F446" i="19"/>
  <c r="F447" i="19" a="1"/>
  <c r="F447" i="19" s="1"/>
  <c r="F448" i="19" a="1"/>
  <c r="F448" i="19" s="1"/>
  <c r="F449" i="19" a="1"/>
  <c r="F449" i="19" s="1"/>
  <c r="F450" i="19" a="1"/>
  <c r="F450" i="19" s="1"/>
  <c r="F451" i="19" a="1"/>
  <c r="F451" i="19"/>
  <c r="F452" i="19" a="1"/>
  <c r="F452" i="19"/>
  <c r="F453" i="19" a="1"/>
  <c r="F453" i="19" s="1"/>
  <c r="F454" i="19" a="1"/>
  <c r="F454" i="19" s="1"/>
  <c r="F455" i="19" a="1"/>
  <c r="F455" i="19" s="1"/>
  <c r="F456" i="19" a="1"/>
  <c r="F456" i="19" s="1"/>
  <c r="F457" i="19" a="1"/>
  <c r="F457" i="19"/>
  <c r="F458" i="19" a="1"/>
  <c r="F458" i="19"/>
  <c r="F459" i="19" a="1"/>
  <c r="F459" i="19" s="1"/>
  <c r="F460" i="19" a="1"/>
  <c r="F460" i="19" s="1"/>
  <c r="F461" i="19" a="1"/>
  <c r="F461" i="19" s="1"/>
  <c r="F462" i="19" a="1"/>
  <c r="F462" i="19" s="1"/>
  <c r="F463" i="19" a="1"/>
  <c r="F463" i="19"/>
  <c r="F464" i="19" a="1"/>
  <c r="F464" i="19"/>
  <c r="F465" i="19" a="1"/>
  <c r="F465" i="19" s="1"/>
  <c r="F466" i="19" a="1"/>
  <c r="F466" i="19" s="1"/>
  <c r="F467" i="19" a="1"/>
  <c r="F467" i="19" s="1"/>
  <c r="F2" i="19" a="1"/>
  <c r="F2" i="19" s="1"/>
  <c r="D2" i="20"/>
  <c r="B2" i="20"/>
  <c r="A2" i="20"/>
  <c r="G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17" i="19"/>
  <c r="G218" i="19"/>
  <c r="G219" i="19"/>
  <c r="G220" i="19"/>
  <c r="G221" i="19"/>
  <c r="G222" i="19"/>
  <c r="G223" i="19"/>
  <c r="G224" i="19"/>
  <c r="G225" i="19"/>
  <c r="G226" i="19"/>
  <c r="G227" i="19"/>
  <c r="G228" i="19"/>
  <c r="G229" i="19"/>
  <c r="G230" i="19"/>
  <c r="G231" i="19"/>
  <c r="G232" i="19"/>
  <c r="G233" i="19"/>
  <c r="G234" i="19"/>
  <c r="G235" i="19"/>
  <c r="G236" i="19"/>
  <c r="G237" i="19"/>
  <c r="G238" i="19"/>
  <c r="G239" i="19"/>
  <c r="G240" i="19"/>
  <c r="G241" i="19"/>
  <c r="G242" i="19"/>
  <c r="G243" i="19"/>
  <c r="G244" i="19"/>
  <c r="G245" i="19"/>
  <c r="G246" i="19"/>
  <c r="G247" i="19"/>
  <c r="G248" i="19"/>
  <c r="G249" i="19"/>
  <c r="G250" i="19"/>
  <c r="G251" i="19"/>
  <c r="G252" i="19"/>
  <c r="G253" i="19"/>
  <c r="G254" i="19"/>
  <c r="G255" i="19"/>
  <c r="G256" i="19"/>
  <c r="G257" i="19"/>
  <c r="G258" i="19"/>
  <c r="G259" i="19"/>
  <c r="G260" i="19"/>
  <c r="G261" i="19"/>
  <c r="G262" i="19"/>
  <c r="G263" i="19"/>
  <c r="G264" i="19"/>
  <c r="G265" i="19"/>
  <c r="G266" i="19"/>
  <c r="G267" i="19"/>
  <c r="G268" i="19"/>
  <c r="G269" i="19"/>
  <c r="G270" i="19"/>
  <c r="G271" i="19"/>
  <c r="G272" i="19"/>
  <c r="G273" i="19"/>
  <c r="G274" i="19"/>
  <c r="G275" i="19"/>
  <c r="G276" i="19"/>
  <c r="G277" i="19"/>
  <c r="G278" i="19"/>
  <c r="G279" i="19"/>
  <c r="G280" i="19"/>
  <c r="G281" i="19"/>
  <c r="G282" i="19"/>
  <c r="G283" i="19"/>
  <c r="G284" i="19"/>
  <c r="G285" i="19"/>
  <c r="G286" i="19"/>
  <c r="G287" i="19"/>
  <c r="G288" i="19"/>
  <c r="G289" i="19"/>
  <c r="G290" i="19"/>
  <c r="G291" i="19"/>
  <c r="G292" i="19"/>
  <c r="G293" i="19"/>
  <c r="G294" i="19"/>
  <c r="G295" i="19"/>
  <c r="G296" i="19"/>
  <c r="G297" i="19"/>
  <c r="G298" i="19"/>
  <c r="G299" i="19"/>
  <c r="G300" i="19"/>
  <c r="G301" i="19"/>
  <c r="G302" i="19"/>
  <c r="G303" i="19"/>
  <c r="G304" i="19"/>
  <c r="G305" i="19"/>
  <c r="G306" i="19"/>
  <c r="G307" i="19"/>
  <c r="G308" i="19"/>
  <c r="G309" i="19"/>
  <c r="G310" i="19"/>
  <c r="G311" i="19"/>
  <c r="G312" i="19"/>
  <c r="G313" i="19"/>
  <c r="G314" i="19"/>
  <c r="G315" i="19"/>
  <c r="G316" i="19"/>
  <c r="G317" i="19"/>
  <c r="G318" i="19"/>
  <c r="G319" i="19"/>
  <c r="G320" i="19"/>
  <c r="G321" i="19"/>
  <c r="G322" i="19"/>
  <c r="G323" i="19"/>
  <c r="G324" i="19"/>
  <c r="G325" i="19"/>
  <c r="G326" i="19"/>
  <c r="G327" i="19"/>
  <c r="G328" i="19"/>
  <c r="G329" i="19"/>
  <c r="G330" i="19"/>
  <c r="G331" i="19"/>
  <c r="G332" i="19"/>
  <c r="G333" i="19"/>
  <c r="G334" i="19"/>
  <c r="G335" i="19"/>
  <c r="G336" i="19"/>
  <c r="G337" i="19"/>
  <c r="G338" i="19"/>
  <c r="G339" i="19"/>
  <c r="G340" i="19"/>
  <c r="G341" i="19"/>
  <c r="G342" i="19"/>
  <c r="G343" i="19"/>
  <c r="G344" i="19"/>
  <c r="G345" i="19"/>
  <c r="G346" i="19"/>
  <c r="G347" i="19"/>
  <c r="G348" i="19"/>
  <c r="G349" i="19"/>
  <c r="G350" i="19"/>
  <c r="G351" i="19"/>
  <c r="G352" i="19"/>
  <c r="G353" i="19"/>
  <c r="G354" i="19"/>
  <c r="G355" i="19"/>
  <c r="G356" i="19"/>
  <c r="G357" i="19"/>
  <c r="G358" i="19"/>
  <c r="G359" i="19"/>
  <c r="G360" i="19"/>
  <c r="G361" i="19"/>
  <c r="G362" i="19"/>
  <c r="G363" i="19"/>
  <c r="G364" i="19"/>
  <c r="G365" i="19"/>
  <c r="G366" i="19"/>
  <c r="G367" i="19"/>
  <c r="G368" i="19"/>
  <c r="G369" i="19"/>
  <c r="G370" i="19"/>
  <c r="G371" i="19"/>
  <c r="G372" i="19"/>
  <c r="G373" i="19"/>
  <c r="G374" i="19"/>
  <c r="G375" i="19"/>
  <c r="G376" i="19"/>
  <c r="G377" i="19"/>
  <c r="G378" i="19"/>
  <c r="G379" i="19"/>
  <c r="G380" i="19"/>
  <c r="G381" i="19"/>
  <c r="G382" i="19"/>
  <c r="G383" i="19"/>
  <c r="G384" i="19"/>
  <c r="G385" i="19"/>
  <c r="G386" i="19"/>
  <c r="G387" i="19"/>
  <c r="G388" i="19"/>
  <c r="G389" i="19"/>
  <c r="G390" i="19"/>
  <c r="G391" i="19"/>
  <c r="G392" i="19"/>
  <c r="G393" i="19"/>
  <c r="G394" i="19"/>
  <c r="G395" i="19"/>
  <c r="G396" i="19"/>
  <c r="G397" i="19"/>
  <c r="G398" i="19"/>
  <c r="G399" i="19"/>
  <c r="G400" i="19"/>
  <c r="G401" i="19"/>
  <c r="G402" i="19"/>
  <c r="G403" i="19"/>
  <c r="G404" i="19"/>
  <c r="G405" i="19"/>
  <c r="G406" i="19"/>
  <c r="G407" i="19"/>
  <c r="G408" i="19"/>
  <c r="G409" i="19"/>
  <c r="G410" i="19"/>
  <c r="G411" i="19"/>
  <c r="G412" i="19"/>
  <c r="G413" i="19"/>
  <c r="G414" i="19"/>
  <c r="G415" i="19"/>
  <c r="G416" i="19"/>
  <c r="G417" i="19"/>
  <c r="G418" i="19"/>
  <c r="G419" i="19"/>
  <c r="G420" i="19"/>
  <c r="G421" i="19"/>
  <c r="G422" i="19"/>
  <c r="G423" i="19"/>
  <c r="G424" i="19"/>
  <c r="G425" i="19"/>
  <c r="G426" i="19"/>
  <c r="G427" i="19"/>
  <c r="G428" i="19"/>
  <c r="G429" i="19"/>
  <c r="G430" i="19"/>
  <c r="G431" i="19"/>
  <c r="G432" i="19"/>
  <c r="G433" i="19"/>
  <c r="G434" i="19"/>
  <c r="G435" i="19"/>
  <c r="G436" i="19"/>
  <c r="G437" i="19"/>
  <c r="G438" i="19"/>
  <c r="G439" i="19"/>
  <c r="G440" i="19"/>
  <c r="G441" i="19"/>
  <c r="G442" i="19"/>
  <c r="G443" i="19"/>
  <c r="G444" i="19"/>
  <c r="G445" i="19"/>
  <c r="G446" i="19"/>
  <c r="G447" i="19"/>
  <c r="G448" i="19"/>
  <c r="G449" i="19"/>
  <c r="G450" i="19"/>
  <c r="G451" i="19"/>
  <c r="G452" i="19"/>
  <c r="G453" i="19"/>
  <c r="G454" i="19"/>
  <c r="G455" i="19"/>
  <c r="G456" i="19"/>
  <c r="G457" i="19"/>
  <c r="G458" i="19"/>
  <c r="G459" i="19"/>
  <c r="G460" i="19"/>
  <c r="G461" i="19"/>
  <c r="G462" i="19"/>
  <c r="G463" i="19"/>
  <c r="G464" i="19"/>
  <c r="G465" i="19"/>
  <c r="G466" i="19"/>
  <c r="G467" i="19"/>
  <c r="G2" i="19"/>
  <c r="E3" i="19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18" i="19"/>
  <c r="E119" i="19"/>
  <c r="E120" i="19"/>
  <c r="E121" i="19"/>
  <c r="E122" i="19"/>
  <c r="E123" i="19"/>
  <c r="E124" i="19"/>
  <c r="E125" i="19"/>
  <c r="E126" i="19"/>
  <c r="E127" i="19"/>
  <c r="E128" i="19"/>
  <c r="E129" i="19"/>
  <c r="E130" i="19"/>
  <c r="E131" i="19"/>
  <c r="E132" i="19"/>
  <c r="E133" i="19"/>
  <c r="E134" i="19"/>
  <c r="E135" i="19"/>
  <c r="E136" i="19"/>
  <c r="E137" i="19"/>
  <c r="E138" i="19"/>
  <c r="E139" i="19"/>
  <c r="E140" i="19"/>
  <c r="E141" i="19"/>
  <c r="E142" i="19"/>
  <c r="E143" i="19"/>
  <c r="E144" i="19"/>
  <c r="E145" i="19"/>
  <c r="E146" i="19"/>
  <c r="E147" i="19"/>
  <c r="E148" i="19"/>
  <c r="E149" i="19"/>
  <c r="E150" i="19"/>
  <c r="E151" i="19"/>
  <c r="E152" i="19"/>
  <c r="E153" i="19"/>
  <c r="E154" i="19"/>
  <c r="E155" i="19"/>
  <c r="E156" i="19"/>
  <c r="E157" i="19"/>
  <c r="E158" i="19"/>
  <c r="E159" i="19"/>
  <c r="E160" i="19"/>
  <c r="E161" i="19"/>
  <c r="E162" i="19"/>
  <c r="E163" i="19"/>
  <c r="E164" i="19"/>
  <c r="E165" i="19"/>
  <c r="E166" i="19"/>
  <c r="E167" i="19"/>
  <c r="E168" i="19"/>
  <c r="E169" i="19"/>
  <c r="E170" i="19"/>
  <c r="E171" i="19"/>
  <c r="E172" i="19"/>
  <c r="E173" i="19"/>
  <c r="E174" i="19"/>
  <c r="E175" i="19"/>
  <c r="E176" i="19"/>
  <c r="E177" i="19"/>
  <c r="E178" i="19"/>
  <c r="E179" i="19"/>
  <c r="E180" i="19"/>
  <c r="E181" i="19"/>
  <c r="E182" i="19"/>
  <c r="E183" i="19"/>
  <c r="E184" i="19"/>
  <c r="E185" i="19"/>
  <c r="E186" i="19"/>
  <c r="E187" i="19"/>
  <c r="E188" i="19"/>
  <c r="E189" i="19"/>
  <c r="E190" i="19"/>
  <c r="E191" i="19"/>
  <c r="E192" i="19"/>
  <c r="E193" i="19"/>
  <c r="E194" i="19"/>
  <c r="E195" i="19"/>
  <c r="E196" i="19"/>
  <c r="E197" i="19"/>
  <c r="E198" i="19"/>
  <c r="E199" i="19"/>
  <c r="E200" i="19"/>
  <c r="E201" i="19"/>
  <c r="E202" i="19"/>
  <c r="E203" i="19"/>
  <c r="E204" i="19"/>
  <c r="E205" i="19"/>
  <c r="E206" i="19"/>
  <c r="E207" i="19"/>
  <c r="E208" i="19"/>
  <c r="E209" i="19"/>
  <c r="E210" i="19"/>
  <c r="E211" i="19"/>
  <c r="E212" i="19"/>
  <c r="E213" i="19"/>
  <c r="E214" i="19"/>
  <c r="E215" i="19"/>
  <c r="E216" i="19"/>
  <c r="E217" i="19"/>
  <c r="E218" i="19"/>
  <c r="E219" i="19"/>
  <c r="E220" i="19"/>
  <c r="E221" i="19"/>
  <c r="E222" i="19"/>
  <c r="E223" i="19"/>
  <c r="E224" i="19"/>
  <c r="E225" i="19"/>
  <c r="E226" i="19"/>
  <c r="E227" i="19"/>
  <c r="E228" i="19"/>
  <c r="E229" i="19"/>
  <c r="E230" i="19"/>
  <c r="E231" i="19"/>
  <c r="E232" i="19"/>
  <c r="E233" i="19"/>
  <c r="E234" i="19"/>
  <c r="E235" i="19"/>
  <c r="E236" i="19"/>
  <c r="E237" i="19"/>
  <c r="E238" i="19"/>
  <c r="E239" i="19"/>
  <c r="E240" i="19"/>
  <c r="E241" i="19"/>
  <c r="E242" i="19"/>
  <c r="E243" i="19"/>
  <c r="E244" i="19"/>
  <c r="E245" i="19"/>
  <c r="E246" i="19"/>
  <c r="E247" i="19"/>
  <c r="E248" i="19"/>
  <c r="E249" i="19"/>
  <c r="E250" i="19"/>
  <c r="E251" i="19"/>
  <c r="E252" i="19"/>
  <c r="E253" i="19"/>
  <c r="E254" i="19"/>
  <c r="E255" i="19"/>
  <c r="E256" i="19"/>
  <c r="E257" i="19"/>
  <c r="E258" i="19"/>
  <c r="E259" i="19"/>
  <c r="E260" i="19"/>
  <c r="E261" i="19"/>
  <c r="E262" i="19"/>
  <c r="E263" i="19"/>
  <c r="E264" i="19"/>
  <c r="E265" i="19"/>
  <c r="E266" i="19"/>
  <c r="E267" i="19"/>
  <c r="E268" i="19"/>
  <c r="E269" i="19"/>
  <c r="E270" i="19"/>
  <c r="E271" i="19"/>
  <c r="E272" i="19"/>
  <c r="E273" i="19"/>
  <c r="E274" i="19"/>
  <c r="E275" i="19"/>
  <c r="E276" i="19"/>
  <c r="E277" i="19"/>
  <c r="E278" i="19"/>
  <c r="E279" i="19"/>
  <c r="E280" i="19"/>
  <c r="E281" i="19"/>
  <c r="E282" i="19"/>
  <c r="E283" i="19"/>
  <c r="E284" i="19"/>
  <c r="E285" i="19"/>
  <c r="E286" i="19"/>
  <c r="E287" i="19"/>
  <c r="E288" i="19"/>
  <c r="E289" i="19"/>
  <c r="E290" i="19"/>
  <c r="E291" i="19"/>
  <c r="E292" i="19"/>
  <c r="E293" i="19"/>
  <c r="E294" i="19"/>
  <c r="E295" i="19"/>
  <c r="E296" i="19"/>
  <c r="E297" i="19"/>
  <c r="E298" i="19"/>
  <c r="E299" i="19"/>
  <c r="E300" i="19"/>
  <c r="E301" i="19"/>
  <c r="E302" i="19"/>
  <c r="E303" i="19"/>
  <c r="E304" i="19"/>
  <c r="E305" i="19"/>
  <c r="E306" i="19"/>
  <c r="E307" i="19"/>
  <c r="E308" i="19"/>
  <c r="E309" i="19"/>
  <c r="E310" i="19"/>
  <c r="E311" i="19"/>
  <c r="E312" i="19"/>
  <c r="E313" i="19"/>
  <c r="E314" i="19"/>
  <c r="E315" i="19"/>
  <c r="E316" i="19"/>
  <c r="E317" i="19"/>
  <c r="E318" i="19"/>
  <c r="E319" i="19"/>
  <c r="E320" i="19"/>
  <c r="E321" i="19"/>
  <c r="E322" i="19"/>
  <c r="E323" i="19"/>
  <c r="E324" i="19"/>
  <c r="E325" i="19"/>
  <c r="E326" i="19"/>
  <c r="E327" i="19"/>
  <c r="E328" i="19"/>
  <c r="E329" i="19"/>
  <c r="E330" i="19"/>
  <c r="E331" i="19"/>
  <c r="E332" i="19"/>
  <c r="E333" i="19"/>
  <c r="E334" i="19"/>
  <c r="E335" i="19"/>
  <c r="E336" i="19"/>
  <c r="E337" i="19"/>
  <c r="E338" i="19"/>
  <c r="E339" i="19"/>
  <c r="E340" i="19"/>
  <c r="E341" i="19"/>
  <c r="E342" i="19"/>
  <c r="E343" i="19"/>
  <c r="E344" i="19"/>
  <c r="E345" i="19"/>
  <c r="E346" i="19"/>
  <c r="E347" i="19"/>
  <c r="E348" i="19"/>
  <c r="E349" i="19"/>
  <c r="E350" i="19"/>
  <c r="E351" i="19"/>
  <c r="E352" i="19"/>
  <c r="E353" i="19"/>
  <c r="E354" i="19"/>
  <c r="E355" i="19"/>
  <c r="E356" i="19"/>
  <c r="E357" i="19"/>
  <c r="E358" i="19"/>
  <c r="E359" i="19"/>
  <c r="E360" i="19"/>
  <c r="E361" i="19"/>
  <c r="E362" i="19"/>
  <c r="E363" i="19"/>
  <c r="E364" i="19"/>
  <c r="E365" i="19"/>
  <c r="E366" i="19"/>
  <c r="E367" i="19"/>
  <c r="E368" i="19"/>
  <c r="E369" i="19"/>
  <c r="E370" i="19"/>
  <c r="E371" i="19"/>
  <c r="E372" i="19"/>
  <c r="E373" i="19"/>
  <c r="E374" i="19"/>
  <c r="E375" i="19"/>
  <c r="E376" i="19"/>
  <c r="E377" i="19"/>
  <c r="E378" i="19"/>
  <c r="E379" i="19"/>
  <c r="E380" i="19"/>
  <c r="E381" i="19"/>
  <c r="E382" i="19"/>
  <c r="E383" i="19"/>
  <c r="E384" i="19"/>
  <c r="E385" i="19"/>
  <c r="E386" i="19"/>
  <c r="E387" i="19"/>
  <c r="E388" i="19"/>
  <c r="E389" i="19"/>
  <c r="E390" i="19"/>
  <c r="E391" i="19"/>
  <c r="E392" i="19"/>
  <c r="E393" i="19"/>
  <c r="E394" i="19"/>
  <c r="E395" i="19"/>
  <c r="E396" i="19"/>
  <c r="E397" i="19"/>
  <c r="E398" i="19"/>
  <c r="E399" i="19"/>
  <c r="E400" i="19"/>
  <c r="E401" i="19"/>
  <c r="E402" i="19"/>
  <c r="E403" i="19"/>
  <c r="E404" i="19"/>
  <c r="E405" i="19"/>
  <c r="E406" i="19"/>
  <c r="E407" i="19"/>
  <c r="E408" i="19"/>
  <c r="E409" i="19"/>
  <c r="E410" i="19"/>
  <c r="E411" i="19"/>
  <c r="E412" i="19"/>
  <c r="E413" i="19"/>
  <c r="E414" i="19"/>
  <c r="E415" i="19"/>
  <c r="E416" i="19"/>
  <c r="E417" i="19"/>
  <c r="E418" i="19"/>
  <c r="E419" i="19"/>
  <c r="E420" i="19"/>
  <c r="E421" i="19"/>
  <c r="E422" i="19"/>
  <c r="E423" i="19"/>
  <c r="E424" i="19"/>
  <c r="E425" i="19"/>
  <c r="E426" i="19"/>
  <c r="E427" i="19"/>
  <c r="E428" i="19"/>
  <c r="E429" i="19"/>
  <c r="E430" i="19"/>
  <c r="E431" i="19"/>
  <c r="E432" i="19"/>
  <c r="E433" i="19"/>
  <c r="E434" i="19"/>
  <c r="E435" i="19"/>
  <c r="E436" i="19"/>
  <c r="E437" i="19"/>
  <c r="E438" i="19"/>
  <c r="E439" i="19"/>
  <c r="E440" i="19"/>
  <c r="E441" i="19"/>
  <c r="E442" i="19"/>
  <c r="E443" i="19"/>
  <c r="E444" i="19"/>
  <c r="E445" i="19"/>
  <c r="E446" i="19"/>
  <c r="E447" i="19"/>
  <c r="E448" i="19"/>
  <c r="E449" i="19"/>
  <c r="E450" i="19"/>
  <c r="E451" i="19"/>
  <c r="E452" i="19"/>
  <c r="E453" i="19"/>
  <c r="E454" i="19"/>
  <c r="E455" i="19"/>
  <c r="E456" i="19"/>
  <c r="E457" i="19"/>
  <c r="E458" i="19"/>
  <c r="E459" i="19"/>
  <c r="E460" i="19"/>
  <c r="E461" i="19"/>
  <c r="E462" i="19"/>
  <c r="E463" i="19"/>
  <c r="E464" i="19"/>
  <c r="E465" i="19"/>
  <c r="E466" i="19"/>
  <c r="E467" i="19"/>
  <c r="E2" i="19"/>
  <c r="D3" i="19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D163" i="19"/>
  <c r="D164" i="19"/>
  <c r="D165" i="19"/>
  <c r="D166" i="19"/>
  <c r="D167" i="19"/>
  <c r="D168" i="19"/>
  <c r="D169" i="19"/>
  <c r="D170" i="19"/>
  <c r="D171" i="19"/>
  <c r="D172" i="19"/>
  <c r="D173" i="19"/>
  <c r="D174" i="19"/>
  <c r="D175" i="19"/>
  <c r="D176" i="19"/>
  <c r="D177" i="19"/>
  <c r="D178" i="19"/>
  <c r="D179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4" i="19"/>
  <c r="D195" i="19"/>
  <c r="D196" i="19"/>
  <c r="D197" i="19"/>
  <c r="D198" i="19"/>
  <c r="D199" i="19"/>
  <c r="D200" i="19"/>
  <c r="D201" i="19"/>
  <c r="D202" i="19"/>
  <c r="D203" i="19"/>
  <c r="D204" i="19"/>
  <c r="D205" i="19"/>
  <c r="D206" i="19"/>
  <c r="D207" i="19"/>
  <c r="D208" i="19"/>
  <c r="D209" i="19"/>
  <c r="D210" i="19"/>
  <c r="D211" i="19"/>
  <c r="D212" i="19"/>
  <c r="D213" i="19"/>
  <c r="D214" i="19"/>
  <c r="D215" i="19"/>
  <c r="D216" i="19"/>
  <c r="D217" i="19"/>
  <c r="D218" i="19"/>
  <c r="D219" i="19"/>
  <c r="D220" i="19"/>
  <c r="D221" i="19"/>
  <c r="D222" i="19"/>
  <c r="D223" i="19"/>
  <c r="D224" i="19"/>
  <c r="D225" i="19"/>
  <c r="D226" i="19"/>
  <c r="D227" i="19"/>
  <c r="D228" i="19"/>
  <c r="D229" i="19"/>
  <c r="D230" i="19"/>
  <c r="D231" i="19"/>
  <c r="D232" i="19"/>
  <c r="D233" i="19"/>
  <c r="D234" i="19"/>
  <c r="D235" i="19"/>
  <c r="D236" i="19"/>
  <c r="D237" i="19"/>
  <c r="D238" i="19"/>
  <c r="D239" i="19"/>
  <c r="D240" i="19"/>
  <c r="D241" i="19"/>
  <c r="D242" i="19"/>
  <c r="D243" i="19"/>
  <c r="D244" i="19"/>
  <c r="D245" i="19"/>
  <c r="D246" i="19"/>
  <c r="D247" i="19"/>
  <c r="D248" i="19"/>
  <c r="D249" i="19"/>
  <c r="D250" i="19"/>
  <c r="D251" i="19"/>
  <c r="D252" i="19"/>
  <c r="D253" i="19"/>
  <c r="D254" i="19"/>
  <c r="D255" i="19"/>
  <c r="D256" i="19"/>
  <c r="D257" i="19"/>
  <c r="D258" i="19"/>
  <c r="D259" i="19"/>
  <c r="D260" i="19"/>
  <c r="D261" i="19"/>
  <c r="D262" i="19"/>
  <c r="D263" i="19"/>
  <c r="D264" i="19"/>
  <c r="D265" i="19"/>
  <c r="D266" i="19"/>
  <c r="D267" i="19"/>
  <c r="D268" i="19"/>
  <c r="D269" i="19"/>
  <c r="D270" i="19"/>
  <c r="D271" i="19"/>
  <c r="D272" i="19"/>
  <c r="D273" i="19"/>
  <c r="D274" i="19"/>
  <c r="D275" i="19"/>
  <c r="D276" i="19"/>
  <c r="D277" i="19"/>
  <c r="D278" i="19"/>
  <c r="D279" i="19"/>
  <c r="D280" i="19"/>
  <c r="D281" i="19"/>
  <c r="D282" i="19"/>
  <c r="D283" i="19"/>
  <c r="D284" i="19"/>
  <c r="D285" i="19"/>
  <c r="D286" i="19"/>
  <c r="D287" i="19"/>
  <c r="D288" i="19"/>
  <c r="D289" i="19"/>
  <c r="D290" i="19"/>
  <c r="D291" i="19"/>
  <c r="D292" i="19"/>
  <c r="D293" i="19"/>
  <c r="D294" i="19"/>
  <c r="D295" i="19"/>
  <c r="D296" i="19"/>
  <c r="D297" i="19"/>
  <c r="D298" i="19"/>
  <c r="D299" i="19"/>
  <c r="D300" i="19"/>
  <c r="D301" i="19"/>
  <c r="D302" i="19"/>
  <c r="D303" i="19"/>
  <c r="D304" i="19"/>
  <c r="D305" i="19"/>
  <c r="D306" i="19"/>
  <c r="D307" i="19"/>
  <c r="D308" i="19"/>
  <c r="D309" i="19"/>
  <c r="D310" i="19"/>
  <c r="D311" i="19"/>
  <c r="D312" i="19"/>
  <c r="D313" i="19"/>
  <c r="D314" i="19"/>
  <c r="D315" i="19"/>
  <c r="D316" i="19"/>
  <c r="D317" i="19"/>
  <c r="D318" i="19"/>
  <c r="D319" i="19"/>
  <c r="D320" i="19"/>
  <c r="D321" i="19"/>
  <c r="D322" i="19"/>
  <c r="D323" i="19"/>
  <c r="D324" i="19"/>
  <c r="D325" i="19"/>
  <c r="D326" i="19"/>
  <c r="D327" i="19"/>
  <c r="D328" i="19"/>
  <c r="D329" i="19"/>
  <c r="D330" i="19"/>
  <c r="D331" i="19"/>
  <c r="D332" i="19"/>
  <c r="D333" i="19"/>
  <c r="D334" i="19"/>
  <c r="D335" i="19"/>
  <c r="D336" i="19"/>
  <c r="D337" i="19"/>
  <c r="D338" i="19"/>
  <c r="D339" i="19"/>
  <c r="D340" i="19"/>
  <c r="D341" i="19"/>
  <c r="D342" i="19"/>
  <c r="D343" i="19"/>
  <c r="D344" i="19"/>
  <c r="D345" i="19"/>
  <c r="D346" i="19"/>
  <c r="D347" i="19"/>
  <c r="D348" i="19"/>
  <c r="D349" i="19"/>
  <c r="D350" i="19"/>
  <c r="D351" i="19"/>
  <c r="D352" i="19"/>
  <c r="D353" i="19"/>
  <c r="D354" i="19"/>
  <c r="D355" i="19"/>
  <c r="D356" i="19"/>
  <c r="D357" i="19"/>
  <c r="D358" i="19"/>
  <c r="D359" i="19"/>
  <c r="D360" i="19"/>
  <c r="D361" i="19"/>
  <c r="D362" i="19"/>
  <c r="D363" i="19"/>
  <c r="D364" i="19"/>
  <c r="D365" i="19"/>
  <c r="D366" i="19"/>
  <c r="D367" i="19"/>
  <c r="D368" i="19"/>
  <c r="D369" i="19"/>
  <c r="D370" i="19"/>
  <c r="D371" i="19"/>
  <c r="D372" i="19"/>
  <c r="D373" i="19"/>
  <c r="D374" i="19"/>
  <c r="D375" i="19"/>
  <c r="D376" i="19"/>
  <c r="D377" i="19"/>
  <c r="D378" i="19"/>
  <c r="D379" i="19"/>
  <c r="D380" i="19"/>
  <c r="D381" i="19"/>
  <c r="D382" i="19"/>
  <c r="D383" i="19"/>
  <c r="D384" i="19"/>
  <c r="D385" i="19"/>
  <c r="D386" i="19"/>
  <c r="D387" i="19"/>
  <c r="D388" i="19"/>
  <c r="D389" i="19"/>
  <c r="D390" i="19"/>
  <c r="D391" i="19"/>
  <c r="D392" i="19"/>
  <c r="D393" i="19"/>
  <c r="D394" i="19"/>
  <c r="D395" i="19"/>
  <c r="D396" i="19"/>
  <c r="D397" i="19"/>
  <c r="D398" i="19"/>
  <c r="D399" i="19"/>
  <c r="D400" i="19"/>
  <c r="D401" i="19"/>
  <c r="D402" i="19"/>
  <c r="D403" i="19"/>
  <c r="D404" i="19"/>
  <c r="D405" i="19"/>
  <c r="D406" i="19"/>
  <c r="D407" i="19"/>
  <c r="D408" i="19"/>
  <c r="D409" i="19"/>
  <c r="D410" i="19"/>
  <c r="D411" i="19"/>
  <c r="D412" i="19"/>
  <c r="D413" i="19"/>
  <c r="D414" i="19"/>
  <c r="D415" i="19"/>
  <c r="D416" i="19"/>
  <c r="D417" i="19"/>
  <c r="D418" i="19"/>
  <c r="D419" i="19"/>
  <c r="D420" i="19"/>
  <c r="D421" i="19"/>
  <c r="D422" i="19"/>
  <c r="D423" i="19"/>
  <c r="D424" i="19"/>
  <c r="D425" i="19"/>
  <c r="D426" i="19"/>
  <c r="D427" i="19"/>
  <c r="D428" i="19"/>
  <c r="D429" i="19"/>
  <c r="D430" i="19"/>
  <c r="D431" i="19"/>
  <c r="D432" i="19"/>
  <c r="D433" i="19"/>
  <c r="D434" i="19"/>
  <c r="D435" i="19"/>
  <c r="D436" i="19"/>
  <c r="D437" i="19"/>
  <c r="D438" i="19"/>
  <c r="D439" i="19"/>
  <c r="D440" i="19"/>
  <c r="D441" i="19"/>
  <c r="D442" i="19"/>
  <c r="D443" i="19"/>
  <c r="D444" i="19"/>
  <c r="D445" i="19"/>
  <c r="D446" i="19"/>
  <c r="D447" i="19"/>
  <c r="D448" i="19"/>
  <c r="D449" i="19"/>
  <c r="D450" i="19"/>
  <c r="D451" i="19"/>
  <c r="D452" i="19"/>
  <c r="D453" i="19"/>
  <c r="D454" i="19"/>
  <c r="D455" i="19"/>
  <c r="D456" i="19"/>
  <c r="D457" i="19"/>
  <c r="D458" i="19"/>
  <c r="D459" i="19"/>
  <c r="D460" i="19"/>
  <c r="D461" i="19"/>
  <c r="D462" i="19"/>
  <c r="D463" i="19"/>
  <c r="D464" i="19"/>
  <c r="D465" i="19"/>
  <c r="D466" i="19"/>
  <c r="D467" i="19"/>
  <c r="D2" i="19"/>
  <c r="C2" i="20" s="1"/>
  <c r="P3" i="19"/>
  <c r="Q3" i="19" s="1"/>
  <c r="P4" i="19"/>
  <c r="Q4" i="19" s="1"/>
  <c r="P5" i="19"/>
  <c r="Q5" i="19" s="1"/>
  <c r="P6" i="19"/>
  <c r="Q6" i="19" s="1"/>
  <c r="P7" i="19"/>
  <c r="Q7" i="19" s="1"/>
  <c r="P8" i="19"/>
  <c r="Q8" i="19" s="1"/>
  <c r="P9" i="19"/>
  <c r="Q9" i="19" s="1"/>
  <c r="P10" i="19"/>
  <c r="Q10" i="19" s="1"/>
  <c r="P11" i="19"/>
  <c r="Q11" i="19" s="1"/>
  <c r="P12" i="19"/>
  <c r="Q12" i="19" s="1"/>
  <c r="P13" i="19"/>
  <c r="Q13" i="19" s="1"/>
  <c r="P14" i="19"/>
  <c r="Q14" i="19" s="1"/>
  <c r="P15" i="19"/>
  <c r="Q15" i="19" s="1"/>
  <c r="P16" i="19"/>
  <c r="Q16" i="19" s="1"/>
  <c r="P17" i="19"/>
  <c r="Q17" i="19" s="1"/>
  <c r="P18" i="19"/>
  <c r="Q18" i="19" s="1"/>
  <c r="P19" i="19"/>
  <c r="Q19" i="19" s="1"/>
  <c r="P20" i="19"/>
  <c r="Q20" i="19" s="1"/>
  <c r="P21" i="19"/>
  <c r="Q21" i="19" s="1"/>
  <c r="P22" i="19"/>
  <c r="Q22" i="19" s="1"/>
  <c r="P23" i="19"/>
  <c r="Q23" i="19" s="1"/>
  <c r="P24" i="19"/>
  <c r="Q24" i="19" s="1"/>
  <c r="P25" i="19"/>
  <c r="Q25" i="19" s="1"/>
  <c r="P26" i="19"/>
  <c r="Q26" i="19" s="1"/>
  <c r="P27" i="19"/>
  <c r="Q27" i="19" s="1"/>
  <c r="P28" i="19"/>
  <c r="Q28" i="19" s="1"/>
  <c r="P29" i="19"/>
  <c r="Q29" i="19" s="1"/>
  <c r="P30" i="19"/>
  <c r="Q30" i="19" s="1"/>
  <c r="P31" i="19"/>
  <c r="Q31" i="19" s="1"/>
  <c r="P32" i="19"/>
  <c r="Q32" i="19" s="1"/>
  <c r="P33" i="19"/>
  <c r="Q33" i="19" s="1"/>
  <c r="P34" i="19"/>
  <c r="Q34" i="19" s="1"/>
  <c r="P35" i="19"/>
  <c r="Q35" i="19" s="1"/>
  <c r="P36" i="19"/>
  <c r="Q36" i="19" s="1"/>
  <c r="P37" i="19"/>
  <c r="Q37" i="19" s="1"/>
  <c r="P38" i="19"/>
  <c r="Q38" i="19" s="1"/>
  <c r="P39" i="19"/>
  <c r="Q39" i="19" s="1"/>
  <c r="P40" i="19"/>
  <c r="Q40" i="19" s="1"/>
  <c r="P41" i="19"/>
  <c r="Q41" i="19" s="1"/>
  <c r="P42" i="19"/>
  <c r="Q42" i="19" s="1"/>
  <c r="P43" i="19"/>
  <c r="Q43" i="19" s="1"/>
  <c r="P44" i="19"/>
  <c r="Q44" i="19" s="1"/>
  <c r="P45" i="19"/>
  <c r="Q45" i="19" s="1"/>
  <c r="P46" i="19"/>
  <c r="Q46" i="19" s="1"/>
  <c r="P47" i="19"/>
  <c r="Q47" i="19" s="1"/>
  <c r="P48" i="19"/>
  <c r="Q48" i="19" s="1"/>
  <c r="P49" i="19"/>
  <c r="Q49" i="19" s="1"/>
  <c r="P50" i="19"/>
  <c r="Q50" i="19" s="1"/>
  <c r="P51" i="19"/>
  <c r="Q51" i="19" s="1"/>
  <c r="P52" i="19"/>
  <c r="Q52" i="19" s="1"/>
  <c r="P53" i="19"/>
  <c r="Q53" i="19" s="1"/>
  <c r="P54" i="19"/>
  <c r="Q54" i="19" s="1"/>
  <c r="P55" i="19"/>
  <c r="Q55" i="19" s="1"/>
  <c r="P56" i="19"/>
  <c r="Q56" i="19" s="1"/>
  <c r="P57" i="19"/>
  <c r="Q57" i="19" s="1"/>
  <c r="P58" i="19"/>
  <c r="Q58" i="19" s="1"/>
  <c r="P59" i="19"/>
  <c r="Q59" i="19" s="1"/>
  <c r="P60" i="19"/>
  <c r="Q60" i="19" s="1"/>
  <c r="P61" i="19"/>
  <c r="Q61" i="19" s="1"/>
  <c r="P62" i="19"/>
  <c r="Q62" i="19" s="1"/>
  <c r="P63" i="19"/>
  <c r="Q63" i="19" s="1"/>
  <c r="P64" i="19"/>
  <c r="Q64" i="19" s="1"/>
  <c r="P65" i="19"/>
  <c r="Q65" i="19" s="1"/>
  <c r="P66" i="19"/>
  <c r="Q66" i="19" s="1"/>
  <c r="P67" i="19"/>
  <c r="Q67" i="19" s="1"/>
  <c r="P68" i="19"/>
  <c r="Q68" i="19" s="1"/>
  <c r="P69" i="19"/>
  <c r="Q69" i="19" s="1"/>
  <c r="P70" i="19"/>
  <c r="Q70" i="19" s="1"/>
  <c r="P71" i="19"/>
  <c r="Q71" i="19" s="1"/>
  <c r="P72" i="19"/>
  <c r="Q72" i="19" s="1"/>
  <c r="P73" i="19"/>
  <c r="Q73" i="19" s="1"/>
  <c r="P74" i="19"/>
  <c r="Q74" i="19" s="1"/>
  <c r="P75" i="19"/>
  <c r="Q75" i="19" s="1"/>
  <c r="P76" i="19"/>
  <c r="Q76" i="19" s="1"/>
  <c r="P77" i="19"/>
  <c r="Q77" i="19" s="1"/>
  <c r="P78" i="19"/>
  <c r="Q78" i="19" s="1"/>
  <c r="P79" i="19"/>
  <c r="Q79" i="19" s="1"/>
  <c r="P80" i="19"/>
  <c r="Q80" i="19" s="1"/>
  <c r="P81" i="19"/>
  <c r="Q81" i="19" s="1"/>
  <c r="P82" i="19"/>
  <c r="Q82" i="19" s="1"/>
  <c r="P83" i="19"/>
  <c r="Q83" i="19" s="1"/>
  <c r="P84" i="19"/>
  <c r="Q84" i="19" s="1"/>
  <c r="P85" i="19"/>
  <c r="Q85" i="19" s="1"/>
  <c r="P86" i="19"/>
  <c r="Q86" i="19" s="1"/>
  <c r="P87" i="19"/>
  <c r="Q87" i="19" s="1"/>
  <c r="P88" i="19"/>
  <c r="Q88" i="19" s="1"/>
  <c r="P89" i="19"/>
  <c r="Q89" i="19" s="1"/>
  <c r="P90" i="19"/>
  <c r="Q90" i="19" s="1"/>
  <c r="P91" i="19"/>
  <c r="Q91" i="19" s="1"/>
  <c r="P92" i="19"/>
  <c r="Q92" i="19" s="1"/>
  <c r="P93" i="19"/>
  <c r="Q93" i="19" s="1"/>
  <c r="P94" i="19"/>
  <c r="Q94" i="19" s="1"/>
  <c r="P95" i="19"/>
  <c r="Q95" i="19" s="1"/>
  <c r="P96" i="19"/>
  <c r="Q96" i="19" s="1"/>
  <c r="P97" i="19"/>
  <c r="Q97" i="19" s="1"/>
  <c r="P98" i="19"/>
  <c r="Q98" i="19" s="1"/>
  <c r="P99" i="19"/>
  <c r="Q99" i="19" s="1"/>
  <c r="P100" i="19"/>
  <c r="Q100" i="19" s="1"/>
  <c r="P101" i="19"/>
  <c r="Q101" i="19" s="1"/>
  <c r="P102" i="19"/>
  <c r="Q102" i="19" s="1"/>
  <c r="P103" i="19"/>
  <c r="Q103" i="19" s="1"/>
  <c r="P104" i="19"/>
  <c r="Q104" i="19" s="1"/>
  <c r="P105" i="19"/>
  <c r="Q105" i="19" s="1"/>
  <c r="P106" i="19"/>
  <c r="Q106" i="19" s="1"/>
  <c r="P107" i="19"/>
  <c r="Q107" i="19" s="1"/>
  <c r="P108" i="19"/>
  <c r="Q108" i="19" s="1"/>
  <c r="P109" i="19"/>
  <c r="Q109" i="19" s="1"/>
  <c r="P110" i="19"/>
  <c r="Q110" i="19" s="1"/>
  <c r="P111" i="19"/>
  <c r="Q111" i="19" s="1"/>
  <c r="P112" i="19"/>
  <c r="Q112" i="19" s="1"/>
  <c r="P113" i="19"/>
  <c r="Q113" i="19" s="1"/>
  <c r="P114" i="19"/>
  <c r="Q114" i="19" s="1"/>
  <c r="P115" i="19"/>
  <c r="Q115" i="19" s="1"/>
  <c r="P116" i="19"/>
  <c r="Q116" i="19" s="1"/>
  <c r="P117" i="19"/>
  <c r="Q117" i="19" s="1"/>
  <c r="P118" i="19"/>
  <c r="Q118" i="19" s="1"/>
  <c r="P119" i="19"/>
  <c r="Q119" i="19" s="1"/>
  <c r="P120" i="19"/>
  <c r="Q120" i="19" s="1"/>
  <c r="P121" i="19"/>
  <c r="Q121" i="19" s="1"/>
  <c r="P122" i="19"/>
  <c r="Q122" i="19" s="1"/>
  <c r="P123" i="19"/>
  <c r="Q123" i="19" s="1"/>
  <c r="P124" i="19"/>
  <c r="Q124" i="19" s="1"/>
  <c r="P125" i="19"/>
  <c r="Q125" i="19" s="1"/>
  <c r="P126" i="19"/>
  <c r="Q126" i="19" s="1"/>
  <c r="P127" i="19"/>
  <c r="Q127" i="19" s="1"/>
  <c r="P128" i="19"/>
  <c r="Q128" i="19" s="1"/>
  <c r="P129" i="19"/>
  <c r="Q129" i="19" s="1"/>
  <c r="P130" i="19"/>
  <c r="Q130" i="19" s="1"/>
  <c r="P131" i="19"/>
  <c r="Q131" i="19" s="1"/>
  <c r="P132" i="19"/>
  <c r="Q132" i="19" s="1"/>
  <c r="P133" i="19"/>
  <c r="Q133" i="19" s="1"/>
  <c r="P134" i="19"/>
  <c r="Q134" i="19" s="1"/>
  <c r="P135" i="19"/>
  <c r="Q135" i="19" s="1"/>
  <c r="P136" i="19"/>
  <c r="Q136" i="19" s="1"/>
  <c r="P137" i="19"/>
  <c r="Q137" i="19" s="1"/>
  <c r="P138" i="19"/>
  <c r="Q138" i="19" s="1"/>
  <c r="P139" i="19"/>
  <c r="Q139" i="19" s="1"/>
  <c r="P140" i="19"/>
  <c r="Q140" i="19" s="1"/>
  <c r="P141" i="19"/>
  <c r="Q141" i="19" s="1"/>
  <c r="P142" i="19"/>
  <c r="Q142" i="19" s="1"/>
  <c r="P143" i="19"/>
  <c r="Q143" i="19" s="1"/>
  <c r="P144" i="19"/>
  <c r="Q144" i="19" s="1"/>
  <c r="P145" i="19"/>
  <c r="Q145" i="19" s="1"/>
  <c r="P146" i="19"/>
  <c r="Q146" i="19" s="1"/>
  <c r="P147" i="19"/>
  <c r="Q147" i="19" s="1"/>
  <c r="P148" i="19"/>
  <c r="Q148" i="19" s="1"/>
  <c r="P149" i="19"/>
  <c r="Q149" i="19" s="1"/>
  <c r="P150" i="19"/>
  <c r="Q150" i="19" s="1"/>
  <c r="P151" i="19"/>
  <c r="Q151" i="19" s="1"/>
  <c r="P152" i="19"/>
  <c r="Q152" i="19" s="1"/>
  <c r="P153" i="19"/>
  <c r="Q153" i="19" s="1"/>
  <c r="P154" i="19"/>
  <c r="Q154" i="19" s="1"/>
  <c r="P155" i="19"/>
  <c r="Q155" i="19" s="1"/>
  <c r="P156" i="19"/>
  <c r="Q156" i="19" s="1"/>
  <c r="P157" i="19"/>
  <c r="Q157" i="19" s="1"/>
  <c r="P158" i="19"/>
  <c r="Q158" i="19" s="1"/>
  <c r="P159" i="19"/>
  <c r="Q159" i="19" s="1"/>
  <c r="P160" i="19"/>
  <c r="Q160" i="19" s="1"/>
  <c r="P161" i="19"/>
  <c r="Q161" i="19" s="1"/>
  <c r="P162" i="19"/>
  <c r="Q162" i="19" s="1"/>
  <c r="P163" i="19"/>
  <c r="Q163" i="19" s="1"/>
  <c r="P164" i="19"/>
  <c r="Q164" i="19" s="1"/>
  <c r="P165" i="19"/>
  <c r="Q165" i="19" s="1"/>
  <c r="P166" i="19"/>
  <c r="Q166" i="19" s="1"/>
  <c r="P167" i="19"/>
  <c r="Q167" i="19" s="1"/>
  <c r="P168" i="19"/>
  <c r="Q168" i="19" s="1"/>
  <c r="P169" i="19"/>
  <c r="Q169" i="19" s="1"/>
  <c r="P170" i="19"/>
  <c r="Q170" i="19" s="1"/>
  <c r="P171" i="19"/>
  <c r="Q171" i="19" s="1"/>
  <c r="P172" i="19"/>
  <c r="Q172" i="19" s="1"/>
  <c r="P173" i="19"/>
  <c r="Q173" i="19" s="1"/>
  <c r="P174" i="19"/>
  <c r="Q174" i="19" s="1"/>
  <c r="P175" i="19"/>
  <c r="Q175" i="19" s="1"/>
  <c r="P176" i="19"/>
  <c r="Q176" i="19" s="1"/>
  <c r="P177" i="19"/>
  <c r="Q177" i="19" s="1"/>
  <c r="P178" i="19"/>
  <c r="Q178" i="19" s="1"/>
  <c r="P179" i="19"/>
  <c r="Q179" i="19" s="1"/>
  <c r="P180" i="19"/>
  <c r="Q180" i="19" s="1"/>
  <c r="P181" i="19"/>
  <c r="Q181" i="19" s="1"/>
  <c r="P182" i="19"/>
  <c r="Q182" i="19" s="1"/>
  <c r="P183" i="19"/>
  <c r="Q183" i="19" s="1"/>
  <c r="P184" i="19"/>
  <c r="Q184" i="19" s="1"/>
  <c r="P185" i="19"/>
  <c r="Q185" i="19" s="1"/>
  <c r="P186" i="19"/>
  <c r="Q186" i="19" s="1"/>
  <c r="P187" i="19"/>
  <c r="Q187" i="19" s="1"/>
  <c r="P188" i="19"/>
  <c r="Q188" i="19" s="1"/>
  <c r="P189" i="19"/>
  <c r="Q189" i="19" s="1"/>
  <c r="P190" i="19"/>
  <c r="Q190" i="19" s="1"/>
  <c r="P191" i="19"/>
  <c r="Q191" i="19" s="1"/>
  <c r="P192" i="19"/>
  <c r="Q192" i="19" s="1"/>
  <c r="P193" i="19"/>
  <c r="Q193" i="19" s="1"/>
  <c r="P194" i="19"/>
  <c r="Q194" i="19" s="1"/>
  <c r="P195" i="19"/>
  <c r="Q195" i="19" s="1"/>
  <c r="P196" i="19"/>
  <c r="Q196" i="19" s="1"/>
  <c r="P197" i="19"/>
  <c r="Q197" i="19" s="1"/>
  <c r="P198" i="19"/>
  <c r="Q198" i="19" s="1"/>
  <c r="P199" i="19"/>
  <c r="Q199" i="19" s="1"/>
  <c r="P200" i="19"/>
  <c r="Q200" i="19" s="1"/>
  <c r="P201" i="19"/>
  <c r="Q201" i="19" s="1"/>
  <c r="P202" i="19"/>
  <c r="Q202" i="19" s="1"/>
  <c r="P203" i="19"/>
  <c r="Q203" i="19" s="1"/>
  <c r="P204" i="19"/>
  <c r="Q204" i="19" s="1"/>
  <c r="P205" i="19"/>
  <c r="Q205" i="19" s="1"/>
  <c r="P206" i="19"/>
  <c r="Q206" i="19" s="1"/>
  <c r="P207" i="19"/>
  <c r="Q207" i="19" s="1"/>
  <c r="P208" i="19"/>
  <c r="Q208" i="19" s="1"/>
  <c r="P209" i="19"/>
  <c r="Q209" i="19" s="1"/>
  <c r="P210" i="19"/>
  <c r="Q210" i="19" s="1"/>
  <c r="P211" i="19"/>
  <c r="Q211" i="19" s="1"/>
  <c r="P212" i="19"/>
  <c r="Q212" i="19" s="1"/>
  <c r="P213" i="19"/>
  <c r="Q213" i="19" s="1"/>
  <c r="P214" i="19"/>
  <c r="Q214" i="19" s="1"/>
  <c r="P215" i="19"/>
  <c r="Q215" i="19" s="1"/>
  <c r="P216" i="19"/>
  <c r="Q216" i="19" s="1"/>
  <c r="P217" i="19"/>
  <c r="Q217" i="19" s="1"/>
  <c r="P218" i="19"/>
  <c r="Q218" i="19" s="1"/>
  <c r="P219" i="19"/>
  <c r="Q219" i="19" s="1"/>
  <c r="P220" i="19"/>
  <c r="Q220" i="19" s="1"/>
  <c r="P221" i="19"/>
  <c r="Q221" i="19" s="1"/>
  <c r="P222" i="19"/>
  <c r="Q222" i="19" s="1"/>
  <c r="P223" i="19"/>
  <c r="Q223" i="19" s="1"/>
  <c r="P224" i="19"/>
  <c r="Q224" i="19" s="1"/>
  <c r="P225" i="19"/>
  <c r="Q225" i="19" s="1"/>
  <c r="P226" i="19"/>
  <c r="Q226" i="19" s="1"/>
  <c r="P227" i="19"/>
  <c r="Q227" i="19" s="1"/>
  <c r="P228" i="19"/>
  <c r="Q228" i="19" s="1"/>
  <c r="P229" i="19"/>
  <c r="Q229" i="19" s="1"/>
  <c r="P230" i="19"/>
  <c r="Q230" i="19" s="1"/>
  <c r="P231" i="19"/>
  <c r="Q231" i="19" s="1"/>
  <c r="P232" i="19"/>
  <c r="Q232" i="19" s="1"/>
  <c r="P233" i="19"/>
  <c r="Q233" i="19" s="1"/>
  <c r="P234" i="19"/>
  <c r="Q234" i="19" s="1"/>
  <c r="P235" i="19"/>
  <c r="Q235" i="19" s="1"/>
  <c r="P236" i="19"/>
  <c r="Q236" i="19" s="1"/>
  <c r="P237" i="19"/>
  <c r="Q237" i="19" s="1"/>
  <c r="P238" i="19"/>
  <c r="Q238" i="19" s="1"/>
  <c r="P239" i="19"/>
  <c r="Q239" i="19" s="1"/>
  <c r="P240" i="19"/>
  <c r="Q240" i="19" s="1"/>
  <c r="P241" i="19"/>
  <c r="Q241" i="19" s="1"/>
  <c r="P242" i="19"/>
  <c r="Q242" i="19" s="1"/>
  <c r="P243" i="19"/>
  <c r="Q243" i="19" s="1"/>
  <c r="P244" i="19"/>
  <c r="Q244" i="19" s="1"/>
  <c r="P245" i="19"/>
  <c r="Q245" i="19" s="1"/>
  <c r="P246" i="19"/>
  <c r="Q246" i="19" s="1"/>
  <c r="P247" i="19"/>
  <c r="Q247" i="19" s="1"/>
  <c r="P248" i="19"/>
  <c r="Q248" i="19" s="1"/>
  <c r="P249" i="19"/>
  <c r="Q249" i="19" s="1"/>
  <c r="P250" i="19"/>
  <c r="Q250" i="19" s="1"/>
  <c r="P251" i="19"/>
  <c r="Q251" i="19" s="1"/>
  <c r="P252" i="19"/>
  <c r="Q252" i="19" s="1"/>
  <c r="P253" i="19"/>
  <c r="Q253" i="19" s="1"/>
  <c r="P254" i="19"/>
  <c r="Q254" i="19" s="1"/>
  <c r="P255" i="19"/>
  <c r="Q255" i="19" s="1"/>
  <c r="P256" i="19"/>
  <c r="Q256" i="19" s="1"/>
  <c r="P257" i="19"/>
  <c r="Q257" i="19" s="1"/>
  <c r="P258" i="19"/>
  <c r="Q258" i="19" s="1"/>
  <c r="P259" i="19"/>
  <c r="Q259" i="19" s="1"/>
  <c r="P260" i="19"/>
  <c r="Q260" i="19" s="1"/>
  <c r="P261" i="19"/>
  <c r="Q261" i="19" s="1"/>
  <c r="P262" i="19"/>
  <c r="Q262" i="19" s="1"/>
  <c r="P263" i="19"/>
  <c r="Q263" i="19" s="1"/>
  <c r="P264" i="19"/>
  <c r="Q264" i="19" s="1"/>
  <c r="P265" i="19"/>
  <c r="Q265" i="19" s="1"/>
  <c r="P266" i="19"/>
  <c r="Q266" i="19" s="1"/>
  <c r="P267" i="19"/>
  <c r="Q267" i="19" s="1"/>
  <c r="P268" i="19"/>
  <c r="Q268" i="19" s="1"/>
  <c r="P269" i="19"/>
  <c r="Q269" i="19" s="1"/>
  <c r="P270" i="19"/>
  <c r="Q270" i="19" s="1"/>
  <c r="P271" i="19"/>
  <c r="Q271" i="19" s="1"/>
  <c r="P272" i="19"/>
  <c r="Q272" i="19" s="1"/>
  <c r="P273" i="19"/>
  <c r="Q273" i="19" s="1"/>
  <c r="P274" i="19"/>
  <c r="Q274" i="19" s="1"/>
  <c r="P275" i="19"/>
  <c r="Q275" i="19" s="1"/>
  <c r="P276" i="19"/>
  <c r="Q276" i="19" s="1"/>
  <c r="P277" i="19"/>
  <c r="Q277" i="19" s="1"/>
  <c r="P278" i="19"/>
  <c r="Q278" i="19" s="1"/>
  <c r="P279" i="19"/>
  <c r="Q279" i="19" s="1"/>
  <c r="P280" i="19"/>
  <c r="Q280" i="19" s="1"/>
  <c r="P281" i="19"/>
  <c r="Q281" i="19" s="1"/>
  <c r="P282" i="19"/>
  <c r="Q282" i="19" s="1"/>
  <c r="P283" i="19"/>
  <c r="Q283" i="19" s="1"/>
  <c r="P284" i="19"/>
  <c r="Q284" i="19" s="1"/>
  <c r="P285" i="19"/>
  <c r="Q285" i="19" s="1"/>
  <c r="P286" i="19"/>
  <c r="Q286" i="19" s="1"/>
  <c r="P287" i="19"/>
  <c r="Q287" i="19" s="1"/>
  <c r="P288" i="19"/>
  <c r="Q288" i="19" s="1"/>
  <c r="P289" i="19"/>
  <c r="Q289" i="19" s="1"/>
  <c r="P290" i="19"/>
  <c r="Q290" i="19" s="1"/>
  <c r="P291" i="19"/>
  <c r="Q291" i="19" s="1"/>
  <c r="P292" i="19"/>
  <c r="Q292" i="19" s="1"/>
  <c r="P293" i="19"/>
  <c r="Q293" i="19" s="1"/>
  <c r="P294" i="19"/>
  <c r="Q294" i="19" s="1"/>
  <c r="P295" i="19"/>
  <c r="Q295" i="19" s="1"/>
  <c r="P296" i="19"/>
  <c r="Q296" i="19" s="1"/>
  <c r="P297" i="19"/>
  <c r="Q297" i="19" s="1"/>
  <c r="P298" i="19"/>
  <c r="Q298" i="19" s="1"/>
  <c r="P299" i="19"/>
  <c r="Q299" i="19" s="1"/>
  <c r="P300" i="19"/>
  <c r="Q300" i="19" s="1"/>
  <c r="P301" i="19"/>
  <c r="Q301" i="19" s="1"/>
  <c r="P302" i="19"/>
  <c r="Q302" i="19" s="1"/>
  <c r="P303" i="19"/>
  <c r="Q303" i="19" s="1"/>
  <c r="P304" i="19"/>
  <c r="Q304" i="19" s="1"/>
  <c r="P305" i="19"/>
  <c r="Q305" i="19" s="1"/>
  <c r="P306" i="19"/>
  <c r="Q306" i="19" s="1"/>
  <c r="P307" i="19"/>
  <c r="Q307" i="19" s="1"/>
  <c r="P308" i="19"/>
  <c r="Q308" i="19" s="1"/>
  <c r="P309" i="19"/>
  <c r="Q309" i="19" s="1"/>
  <c r="P310" i="19"/>
  <c r="Q310" i="19" s="1"/>
  <c r="P311" i="19"/>
  <c r="Q311" i="19" s="1"/>
  <c r="P312" i="19"/>
  <c r="Q312" i="19" s="1"/>
  <c r="P313" i="19"/>
  <c r="Q313" i="19" s="1"/>
  <c r="P314" i="19"/>
  <c r="Q314" i="19" s="1"/>
  <c r="P315" i="19"/>
  <c r="Q315" i="19" s="1"/>
  <c r="P316" i="19"/>
  <c r="Q316" i="19" s="1"/>
  <c r="P317" i="19"/>
  <c r="Q317" i="19" s="1"/>
  <c r="P318" i="19"/>
  <c r="Q318" i="19" s="1"/>
  <c r="P319" i="19"/>
  <c r="Q319" i="19" s="1"/>
  <c r="P320" i="19"/>
  <c r="Q320" i="19" s="1"/>
  <c r="P321" i="19"/>
  <c r="Q321" i="19" s="1"/>
  <c r="P322" i="19"/>
  <c r="Q322" i="19" s="1"/>
  <c r="P323" i="19"/>
  <c r="Q323" i="19" s="1"/>
  <c r="P324" i="19"/>
  <c r="Q324" i="19" s="1"/>
  <c r="P325" i="19"/>
  <c r="Q325" i="19" s="1"/>
  <c r="P326" i="19"/>
  <c r="Q326" i="19" s="1"/>
  <c r="P327" i="19"/>
  <c r="Q327" i="19" s="1"/>
  <c r="P328" i="19"/>
  <c r="Q328" i="19" s="1"/>
  <c r="P329" i="19"/>
  <c r="Q329" i="19" s="1"/>
  <c r="P330" i="19"/>
  <c r="Q330" i="19" s="1"/>
  <c r="P331" i="19"/>
  <c r="Q331" i="19" s="1"/>
  <c r="P332" i="19"/>
  <c r="Q332" i="19" s="1"/>
  <c r="P333" i="19"/>
  <c r="Q333" i="19" s="1"/>
  <c r="P334" i="19"/>
  <c r="Q334" i="19" s="1"/>
  <c r="P335" i="19"/>
  <c r="Q335" i="19" s="1"/>
  <c r="P336" i="19"/>
  <c r="Q336" i="19" s="1"/>
  <c r="P337" i="19"/>
  <c r="Q337" i="19" s="1"/>
  <c r="P338" i="19"/>
  <c r="Q338" i="19" s="1"/>
  <c r="P339" i="19"/>
  <c r="Q339" i="19" s="1"/>
  <c r="P340" i="19"/>
  <c r="Q340" i="19" s="1"/>
  <c r="P341" i="19"/>
  <c r="Q341" i="19" s="1"/>
  <c r="P342" i="19"/>
  <c r="Q342" i="19" s="1"/>
  <c r="P343" i="19"/>
  <c r="Q343" i="19" s="1"/>
  <c r="P344" i="19"/>
  <c r="Q344" i="19" s="1"/>
  <c r="P345" i="19"/>
  <c r="Q345" i="19" s="1"/>
  <c r="P346" i="19"/>
  <c r="Q346" i="19" s="1"/>
  <c r="P347" i="19"/>
  <c r="Q347" i="19" s="1"/>
  <c r="P348" i="19"/>
  <c r="Q348" i="19" s="1"/>
  <c r="P349" i="19"/>
  <c r="Q349" i="19" s="1"/>
  <c r="P350" i="19"/>
  <c r="Q350" i="19" s="1"/>
  <c r="P351" i="19"/>
  <c r="Q351" i="19" s="1"/>
  <c r="P352" i="19"/>
  <c r="Q352" i="19" s="1"/>
  <c r="P353" i="19"/>
  <c r="Q353" i="19" s="1"/>
  <c r="P354" i="19"/>
  <c r="Q354" i="19" s="1"/>
  <c r="P355" i="19"/>
  <c r="Q355" i="19" s="1"/>
  <c r="P356" i="19"/>
  <c r="Q356" i="19" s="1"/>
  <c r="P357" i="19"/>
  <c r="Q357" i="19" s="1"/>
  <c r="P358" i="19"/>
  <c r="Q358" i="19" s="1"/>
  <c r="P359" i="19"/>
  <c r="Q359" i="19" s="1"/>
  <c r="P360" i="19"/>
  <c r="Q360" i="19" s="1"/>
  <c r="P361" i="19"/>
  <c r="Q361" i="19" s="1"/>
  <c r="P362" i="19"/>
  <c r="Q362" i="19" s="1"/>
  <c r="P363" i="19"/>
  <c r="Q363" i="19" s="1"/>
  <c r="P364" i="19"/>
  <c r="Q364" i="19" s="1"/>
  <c r="P365" i="19"/>
  <c r="Q365" i="19" s="1"/>
  <c r="P366" i="19"/>
  <c r="Q366" i="19" s="1"/>
  <c r="P367" i="19"/>
  <c r="Q367" i="19" s="1"/>
  <c r="P368" i="19"/>
  <c r="Q368" i="19" s="1"/>
  <c r="P369" i="19"/>
  <c r="Q369" i="19" s="1"/>
  <c r="P370" i="19"/>
  <c r="Q370" i="19" s="1"/>
  <c r="P371" i="19"/>
  <c r="Q371" i="19" s="1"/>
  <c r="P372" i="19"/>
  <c r="Q372" i="19" s="1"/>
  <c r="P373" i="19"/>
  <c r="Q373" i="19" s="1"/>
  <c r="P374" i="19"/>
  <c r="Q374" i="19" s="1"/>
  <c r="P375" i="19"/>
  <c r="Q375" i="19" s="1"/>
  <c r="P376" i="19"/>
  <c r="Q376" i="19" s="1"/>
  <c r="P377" i="19"/>
  <c r="Q377" i="19" s="1"/>
  <c r="P378" i="19"/>
  <c r="Q378" i="19" s="1"/>
  <c r="P379" i="19"/>
  <c r="Q379" i="19" s="1"/>
  <c r="P380" i="19"/>
  <c r="Q380" i="19" s="1"/>
  <c r="P381" i="19"/>
  <c r="Q381" i="19" s="1"/>
  <c r="P382" i="19"/>
  <c r="Q382" i="19" s="1"/>
  <c r="P383" i="19"/>
  <c r="Q383" i="19" s="1"/>
  <c r="P384" i="19"/>
  <c r="Q384" i="19" s="1"/>
  <c r="P385" i="19"/>
  <c r="Q385" i="19" s="1"/>
  <c r="P386" i="19"/>
  <c r="Q386" i="19" s="1"/>
  <c r="P387" i="19"/>
  <c r="Q387" i="19" s="1"/>
  <c r="P388" i="19"/>
  <c r="Q388" i="19" s="1"/>
  <c r="P389" i="19"/>
  <c r="Q389" i="19" s="1"/>
  <c r="P390" i="19"/>
  <c r="Q390" i="19" s="1"/>
  <c r="P391" i="19"/>
  <c r="Q391" i="19" s="1"/>
  <c r="P392" i="19"/>
  <c r="Q392" i="19" s="1"/>
  <c r="P393" i="19"/>
  <c r="Q393" i="19" s="1"/>
  <c r="P394" i="19"/>
  <c r="Q394" i="19" s="1"/>
  <c r="P395" i="19"/>
  <c r="Q395" i="19" s="1"/>
  <c r="P396" i="19"/>
  <c r="Q396" i="19" s="1"/>
  <c r="P397" i="19"/>
  <c r="Q397" i="19" s="1"/>
  <c r="P398" i="19"/>
  <c r="Q398" i="19" s="1"/>
  <c r="P399" i="19"/>
  <c r="Q399" i="19" s="1"/>
  <c r="P400" i="19"/>
  <c r="Q400" i="19" s="1"/>
  <c r="P401" i="19"/>
  <c r="Q401" i="19" s="1"/>
  <c r="P402" i="19"/>
  <c r="Q402" i="19" s="1"/>
  <c r="P403" i="19"/>
  <c r="Q403" i="19" s="1"/>
  <c r="P404" i="19"/>
  <c r="Q404" i="19" s="1"/>
  <c r="P405" i="19"/>
  <c r="Q405" i="19" s="1"/>
  <c r="P406" i="19"/>
  <c r="Q406" i="19" s="1"/>
  <c r="P407" i="19"/>
  <c r="Q407" i="19" s="1"/>
  <c r="P408" i="19"/>
  <c r="Q408" i="19" s="1"/>
  <c r="P409" i="19"/>
  <c r="Q409" i="19" s="1"/>
  <c r="P410" i="19"/>
  <c r="Q410" i="19" s="1"/>
  <c r="P411" i="19"/>
  <c r="Q411" i="19" s="1"/>
  <c r="P412" i="19"/>
  <c r="Q412" i="19" s="1"/>
  <c r="P413" i="19"/>
  <c r="Q413" i="19" s="1"/>
  <c r="P414" i="19"/>
  <c r="Q414" i="19" s="1"/>
  <c r="P415" i="19"/>
  <c r="Q415" i="19" s="1"/>
  <c r="P416" i="19"/>
  <c r="Q416" i="19" s="1"/>
  <c r="P417" i="19"/>
  <c r="Q417" i="19" s="1"/>
  <c r="P418" i="19"/>
  <c r="Q418" i="19" s="1"/>
  <c r="P419" i="19"/>
  <c r="Q419" i="19" s="1"/>
  <c r="P420" i="19"/>
  <c r="Q420" i="19" s="1"/>
  <c r="P421" i="19"/>
  <c r="Q421" i="19" s="1"/>
  <c r="P422" i="19"/>
  <c r="Q422" i="19" s="1"/>
  <c r="P423" i="19"/>
  <c r="Q423" i="19" s="1"/>
  <c r="P424" i="19"/>
  <c r="Q424" i="19" s="1"/>
  <c r="P425" i="19"/>
  <c r="Q425" i="19" s="1"/>
  <c r="P426" i="19"/>
  <c r="Q426" i="19" s="1"/>
  <c r="P427" i="19"/>
  <c r="Q427" i="19" s="1"/>
  <c r="P428" i="19"/>
  <c r="Q428" i="19" s="1"/>
  <c r="P429" i="19"/>
  <c r="Q429" i="19" s="1"/>
  <c r="P430" i="19"/>
  <c r="Q430" i="19" s="1"/>
  <c r="P431" i="19"/>
  <c r="Q431" i="19" s="1"/>
  <c r="P432" i="19"/>
  <c r="Q432" i="19" s="1"/>
  <c r="P433" i="19"/>
  <c r="Q433" i="19" s="1"/>
  <c r="P434" i="19"/>
  <c r="Q434" i="19" s="1"/>
  <c r="P435" i="19"/>
  <c r="Q435" i="19" s="1"/>
  <c r="P436" i="19"/>
  <c r="Q436" i="19" s="1"/>
  <c r="P437" i="19"/>
  <c r="Q437" i="19" s="1"/>
  <c r="P438" i="19"/>
  <c r="Q438" i="19" s="1"/>
  <c r="P439" i="19"/>
  <c r="Q439" i="19" s="1"/>
  <c r="P440" i="19"/>
  <c r="Q440" i="19" s="1"/>
  <c r="P441" i="19"/>
  <c r="Q441" i="19" s="1"/>
  <c r="P442" i="19"/>
  <c r="Q442" i="19" s="1"/>
  <c r="P443" i="19"/>
  <c r="Q443" i="19" s="1"/>
  <c r="P444" i="19"/>
  <c r="Q444" i="19" s="1"/>
  <c r="P445" i="19"/>
  <c r="Q445" i="19" s="1"/>
  <c r="P446" i="19"/>
  <c r="Q446" i="19" s="1"/>
  <c r="P447" i="19"/>
  <c r="Q447" i="19" s="1"/>
  <c r="P448" i="19"/>
  <c r="Q448" i="19" s="1"/>
  <c r="P449" i="19"/>
  <c r="Q449" i="19" s="1"/>
  <c r="P450" i="19"/>
  <c r="Q450" i="19" s="1"/>
  <c r="P451" i="19"/>
  <c r="Q451" i="19" s="1"/>
  <c r="P452" i="19"/>
  <c r="Q452" i="19" s="1"/>
  <c r="P453" i="19"/>
  <c r="Q453" i="19" s="1"/>
  <c r="P454" i="19"/>
  <c r="Q454" i="19" s="1"/>
  <c r="P455" i="19"/>
  <c r="Q455" i="19" s="1"/>
  <c r="P456" i="19"/>
  <c r="Q456" i="19" s="1"/>
  <c r="P457" i="19"/>
  <c r="Q457" i="19" s="1"/>
  <c r="P458" i="19"/>
  <c r="Q458" i="19" s="1"/>
  <c r="P459" i="19"/>
  <c r="Q459" i="19" s="1"/>
  <c r="P460" i="19"/>
  <c r="Q460" i="19" s="1"/>
  <c r="P461" i="19"/>
  <c r="Q461" i="19" s="1"/>
  <c r="P462" i="19"/>
  <c r="Q462" i="19" s="1"/>
  <c r="P463" i="19"/>
  <c r="Q463" i="19" s="1"/>
  <c r="P464" i="19"/>
  <c r="Q464" i="19" s="1"/>
  <c r="P465" i="19"/>
  <c r="Q465" i="19" s="1"/>
  <c r="P466" i="19"/>
  <c r="Q466" i="19" s="1"/>
  <c r="P467" i="19"/>
  <c r="Q467" i="19" s="1"/>
  <c r="P2" i="19"/>
  <c r="Q2" i="19" s="1"/>
  <c r="N3" i="19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48" i="19"/>
  <c r="N49" i="19"/>
  <c r="N50" i="19"/>
  <c r="N51" i="19"/>
  <c r="N52" i="19"/>
  <c r="N53" i="19"/>
  <c r="N54" i="19"/>
  <c r="N55" i="19"/>
  <c r="N56" i="19"/>
  <c r="N57" i="19"/>
  <c r="N58" i="19"/>
  <c r="N59" i="19"/>
  <c r="N60" i="19"/>
  <c r="N61" i="19"/>
  <c r="N62" i="19"/>
  <c r="N63" i="19"/>
  <c r="N64" i="19"/>
  <c r="N65" i="19"/>
  <c r="N66" i="19"/>
  <c r="N67" i="19"/>
  <c r="N68" i="19"/>
  <c r="N69" i="19"/>
  <c r="N70" i="19"/>
  <c r="N71" i="19"/>
  <c r="N72" i="19"/>
  <c r="N73" i="19"/>
  <c r="N74" i="19"/>
  <c r="N75" i="19"/>
  <c r="N76" i="19"/>
  <c r="N77" i="19"/>
  <c r="N78" i="19"/>
  <c r="N79" i="19"/>
  <c r="N80" i="19"/>
  <c r="N81" i="19"/>
  <c r="N82" i="19"/>
  <c r="N83" i="19"/>
  <c r="N84" i="19"/>
  <c r="N85" i="19"/>
  <c r="N86" i="19"/>
  <c r="N87" i="19"/>
  <c r="N88" i="19"/>
  <c r="N89" i="19"/>
  <c r="N90" i="19"/>
  <c r="N91" i="19"/>
  <c r="N92" i="19"/>
  <c r="N93" i="19"/>
  <c r="N94" i="19"/>
  <c r="N95" i="19"/>
  <c r="N96" i="19"/>
  <c r="N97" i="19"/>
  <c r="N98" i="19"/>
  <c r="N99" i="19"/>
  <c r="N100" i="19"/>
  <c r="N101" i="19"/>
  <c r="N102" i="19"/>
  <c r="N103" i="19"/>
  <c r="N104" i="19"/>
  <c r="N105" i="19"/>
  <c r="N106" i="19"/>
  <c r="N107" i="19"/>
  <c r="N108" i="19"/>
  <c r="N109" i="19"/>
  <c r="N110" i="19"/>
  <c r="N111" i="19"/>
  <c r="N112" i="19"/>
  <c r="N113" i="19"/>
  <c r="N114" i="19"/>
  <c r="N115" i="19"/>
  <c r="N116" i="19"/>
  <c r="N117" i="19"/>
  <c r="N118" i="19"/>
  <c r="N119" i="19"/>
  <c r="N120" i="19"/>
  <c r="N121" i="19"/>
  <c r="N122" i="19"/>
  <c r="N123" i="19"/>
  <c r="N124" i="19"/>
  <c r="N125" i="19"/>
  <c r="N126" i="19"/>
  <c r="N127" i="19"/>
  <c r="N128" i="19"/>
  <c r="N129" i="19"/>
  <c r="N130" i="19"/>
  <c r="N131" i="19"/>
  <c r="N132" i="19"/>
  <c r="N133" i="19"/>
  <c r="N134" i="19"/>
  <c r="N135" i="19"/>
  <c r="N136" i="19"/>
  <c r="N137" i="19"/>
  <c r="N138" i="19"/>
  <c r="N139" i="19"/>
  <c r="N140" i="19"/>
  <c r="N141" i="19"/>
  <c r="N142" i="19"/>
  <c r="N143" i="19"/>
  <c r="N144" i="19"/>
  <c r="N145" i="19"/>
  <c r="N146" i="19"/>
  <c r="N147" i="19"/>
  <c r="N148" i="19"/>
  <c r="N149" i="19"/>
  <c r="N150" i="19"/>
  <c r="N151" i="19"/>
  <c r="N152" i="19"/>
  <c r="N153" i="19"/>
  <c r="N154" i="19"/>
  <c r="N155" i="19"/>
  <c r="N156" i="19"/>
  <c r="N157" i="19"/>
  <c r="N158" i="19"/>
  <c r="N159" i="19"/>
  <c r="N160" i="19"/>
  <c r="N161" i="19"/>
  <c r="N162" i="19"/>
  <c r="N163" i="19"/>
  <c r="N164" i="19"/>
  <c r="N165" i="19"/>
  <c r="N166" i="19"/>
  <c r="N167" i="19"/>
  <c r="N168" i="19"/>
  <c r="N169" i="19"/>
  <c r="N170" i="19"/>
  <c r="N171" i="19"/>
  <c r="N172" i="19"/>
  <c r="N173" i="19"/>
  <c r="N174" i="19"/>
  <c r="N175" i="19"/>
  <c r="N176" i="19"/>
  <c r="N177" i="19"/>
  <c r="N178" i="19"/>
  <c r="N179" i="19"/>
  <c r="N180" i="19"/>
  <c r="N181" i="19"/>
  <c r="N182" i="19"/>
  <c r="N183" i="19"/>
  <c r="N184" i="19"/>
  <c r="N185" i="19"/>
  <c r="N186" i="19"/>
  <c r="N187" i="19"/>
  <c r="N188" i="19"/>
  <c r="N189" i="19"/>
  <c r="N190" i="19"/>
  <c r="N191" i="19"/>
  <c r="N192" i="19"/>
  <c r="N193" i="19"/>
  <c r="N194" i="19"/>
  <c r="N195" i="19"/>
  <c r="N196" i="19"/>
  <c r="N197" i="19"/>
  <c r="N198" i="19"/>
  <c r="N199" i="19"/>
  <c r="N200" i="19"/>
  <c r="N201" i="19"/>
  <c r="N202" i="19"/>
  <c r="N203" i="19"/>
  <c r="N204" i="19"/>
  <c r="N205" i="19"/>
  <c r="N206" i="19"/>
  <c r="N207" i="19"/>
  <c r="N208" i="19"/>
  <c r="N209" i="19"/>
  <c r="N210" i="19"/>
  <c r="N211" i="19"/>
  <c r="N212" i="19"/>
  <c r="N213" i="19"/>
  <c r="N214" i="19"/>
  <c r="N215" i="19"/>
  <c r="N216" i="19"/>
  <c r="N217" i="19"/>
  <c r="N218" i="19"/>
  <c r="N219" i="19"/>
  <c r="N220" i="19"/>
  <c r="N221" i="19"/>
  <c r="N222" i="19"/>
  <c r="N223" i="19"/>
  <c r="N224" i="19"/>
  <c r="N225" i="19"/>
  <c r="N226" i="19"/>
  <c r="N227" i="19"/>
  <c r="N228" i="19"/>
  <c r="N229" i="19"/>
  <c r="N230" i="19"/>
  <c r="N231" i="19"/>
  <c r="N232" i="19"/>
  <c r="N233" i="19"/>
  <c r="N234" i="19"/>
  <c r="N235" i="19"/>
  <c r="N236" i="19"/>
  <c r="N237" i="19"/>
  <c r="N238" i="19"/>
  <c r="N239" i="19"/>
  <c r="N240" i="19"/>
  <c r="N241" i="19"/>
  <c r="N242" i="19"/>
  <c r="N243" i="19"/>
  <c r="N244" i="19"/>
  <c r="N245" i="19"/>
  <c r="N246" i="19"/>
  <c r="N247" i="19"/>
  <c r="N248" i="19"/>
  <c r="N249" i="19"/>
  <c r="N250" i="19"/>
  <c r="N251" i="19"/>
  <c r="N252" i="19"/>
  <c r="N253" i="19"/>
  <c r="N254" i="19"/>
  <c r="N255" i="19"/>
  <c r="N256" i="19"/>
  <c r="N257" i="19"/>
  <c r="N258" i="19"/>
  <c r="N259" i="19"/>
  <c r="N260" i="19"/>
  <c r="N261" i="19"/>
  <c r="N262" i="19"/>
  <c r="N263" i="19"/>
  <c r="N264" i="19"/>
  <c r="N265" i="19"/>
  <c r="N266" i="19"/>
  <c r="N267" i="19"/>
  <c r="N268" i="19"/>
  <c r="N269" i="19"/>
  <c r="N270" i="19"/>
  <c r="N271" i="19"/>
  <c r="N272" i="19"/>
  <c r="N273" i="19"/>
  <c r="N274" i="19"/>
  <c r="N275" i="19"/>
  <c r="N276" i="19"/>
  <c r="N277" i="19"/>
  <c r="N278" i="19"/>
  <c r="N279" i="19"/>
  <c r="N280" i="19"/>
  <c r="N281" i="19"/>
  <c r="N282" i="19"/>
  <c r="N283" i="19"/>
  <c r="N284" i="19"/>
  <c r="N285" i="19"/>
  <c r="N286" i="19"/>
  <c r="N287" i="19"/>
  <c r="N288" i="19"/>
  <c r="N289" i="19"/>
  <c r="N290" i="19"/>
  <c r="N291" i="19"/>
  <c r="N292" i="19"/>
  <c r="N293" i="19"/>
  <c r="N294" i="19"/>
  <c r="N295" i="19"/>
  <c r="N296" i="19"/>
  <c r="N297" i="19"/>
  <c r="N298" i="19"/>
  <c r="N299" i="19"/>
  <c r="N300" i="19"/>
  <c r="N301" i="19"/>
  <c r="N302" i="19"/>
  <c r="N303" i="19"/>
  <c r="N304" i="19"/>
  <c r="N305" i="19"/>
  <c r="N306" i="19"/>
  <c r="N307" i="19"/>
  <c r="N308" i="19"/>
  <c r="N309" i="19"/>
  <c r="N310" i="19"/>
  <c r="N311" i="19"/>
  <c r="N312" i="19"/>
  <c r="N313" i="19"/>
  <c r="N314" i="19"/>
  <c r="N315" i="19"/>
  <c r="N316" i="19"/>
  <c r="N317" i="19"/>
  <c r="N318" i="19"/>
  <c r="N319" i="19"/>
  <c r="N320" i="19"/>
  <c r="N321" i="19"/>
  <c r="N322" i="19"/>
  <c r="N323" i="19"/>
  <c r="N324" i="19"/>
  <c r="N325" i="19"/>
  <c r="N326" i="19"/>
  <c r="N327" i="19"/>
  <c r="N328" i="19"/>
  <c r="N329" i="19"/>
  <c r="N330" i="19"/>
  <c r="N331" i="19"/>
  <c r="N332" i="19"/>
  <c r="N333" i="19"/>
  <c r="N334" i="19"/>
  <c r="N335" i="19"/>
  <c r="N336" i="19"/>
  <c r="N337" i="19"/>
  <c r="N338" i="19"/>
  <c r="N339" i="19"/>
  <c r="N340" i="19"/>
  <c r="N341" i="19"/>
  <c r="N342" i="19"/>
  <c r="N343" i="19"/>
  <c r="N344" i="19"/>
  <c r="N345" i="19"/>
  <c r="N346" i="19"/>
  <c r="N347" i="19"/>
  <c r="N348" i="19"/>
  <c r="N349" i="19"/>
  <c r="N350" i="19"/>
  <c r="N351" i="19"/>
  <c r="N352" i="19"/>
  <c r="N353" i="19"/>
  <c r="N354" i="19"/>
  <c r="N355" i="19"/>
  <c r="N356" i="19"/>
  <c r="N357" i="19"/>
  <c r="N358" i="19"/>
  <c r="N359" i="19"/>
  <c r="N360" i="19"/>
  <c r="N361" i="19"/>
  <c r="N362" i="19"/>
  <c r="N363" i="19"/>
  <c r="N364" i="19"/>
  <c r="N365" i="19"/>
  <c r="N366" i="19"/>
  <c r="N367" i="19"/>
  <c r="N368" i="19"/>
  <c r="N369" i="19"/>
  <c r="N370" i="19"/>
  <c r="N371" i="19"/>
  <c r="N372" i="19"/>
  <c r="N373" i="19"/>
  <c r="N374" i="19"/>
  <c r="N375" i="19"/>
  <c r="N376" i="19"/>
  <c r="N377" i="19"/>
  <c r="N378" i="19"/>
  <c r="N379" i="19"/>
  <c r="N380" i="19"/>
  <c r="N381" i="19"/>
  <c r="N382" i="19"/>
  <c r="N383" i="19"/>
  <c r="N384" i="19"/>
  <c r="N385" i="19"/>
  <c r="N386" i="19"/>
  <c r="N387" i="19"/>
  <c r="N388" i="19"/>
  <c r="N389" i="19"/>
  <c r="N390" i="19"/>
  <c r="N391" i="19"/>
  <c r="N392" i="19"/>
  <c r="N393" i="19"/>
  <c r="N394" i="19"/>
  <c r="N395" i="19"/>
  <c r="N396" i="19"/>
  <c r="N397" i="19"/>
  <c r="N398" i="19"/>
  <c r="N399" i="19"/>
  <c r="N400" i="19"/>
  <c r="N401" i="19"/>
  <c r="N402" i="19"/>
  <c r="N403" i="19"/>
  <c r="N404" i="19"/>
  <c r="N405" i="19"/>
  <c r="N406" i="19"/>
  <c r="N407" i="19"/>
  <c r="N408" i="19"/>
  <c r="N409" i="19"/>
  <c r="N410" i="19"/>
  <c r="N411" i="19"/>
  <c r="N412" i="19"/>
  <c r="N413" i="19"/>
  <c r="N414" i="19"/>
  <c r="N415" i="19"/>
  <c r="N416" i="19"/>
  <c r="N417" i="19"/>
  <c r="N418" i="19"/>
  <c r="N419" i="19"/>
  <c r="N420" i="19"/>
  <c r="N421" i="19"/>
  <c r="N422" i="19"/>
  <c r="N423" i="19"/>
  <c r="N424" i="19"/>
  <c r="N425" i="19"/>
  <c r="N426" i="19"/>
  <c r="N427" i="19"/>
  <c r="N428" i="19"/>
  <c r="N429" i="19"/>
  <c r="N430" i="19"/>
  <c r="N431" i="19"/>
  <c r="N432" i="19"/>
  <c r="N433" i="19"/>
  <c r="N434" i="19"/>
  <c r="N435" i="19"/>
  <c r="N436" i="19"/>
  <c r="N437" i="19"/>
  <c r="N438" i="19"/>
  <c r="N439" i="19"/>
  <c r="N440" i="19"/>
  <c r="N441" i="19"/>
  <c r="N442" i="19"/>
  <c r="N443" i="19"/>
  <c r="N444" i="19"/>
  <c r="N445" i="19"/>
  <c r="N446" i="19"/>
  <c r="N447" i="19"/>
  <c r="N448" i="19"/>
  <c r="N449" i="19"/>
  <c r="N450" i="19"/>
  <c r="N451" i="19"/>
  <c r="N452" i="19"/>
  <c r="N453" i="19"/>
  <c r="N454" i="19"/>
  <c r="N455" i="19"/>
  <c r="N456" i="19"/>
  <c r="N457" i="19"/>
  <c r="N458" i="19"/>
  <c r="N459" i="19"/>
  <c r="N460" i="19"/>
  <c r="N461" i="19"/>
  <c r="N462" i="19"/>
  <c r="N463" i="19"/>
  <c r="N464" i="19"/>
  <c r="N465" i="19"/>
  <c r="N466" i="19"/>
  <c r="N467" i="19"/>
  <c r="N2" i="19"/>
  <c r="M3" i="19"/>
  <c r="M4" i="19"/>
  <c r="M5" i="19"/>
  <c r="M6" i="19"/>
  <c r="M7" i="19"/>
  <c r="M8" i="19"/>
  <c r="M9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37" i="19"/>
  <c r="M38" i="19"/>
  <c r="M39" i="19"/>
  <c r="M40" i="19"/>
  <c r="M41" i="19"/>
  <c r="M42" i="19"/>
  <c r="M43" i="19"/>
  <c r="M44" i="19"/>
  <c r="M45" i="19"/>
  <c r="M46" i="19"/>
  <c r="M47" i="19"/>
  <c r="M48" i="19"/>
  <c r="M49" i="19"/>
  <c r="M50" i="19"/>
  <c r="M51" i="19"/>
  <c r="M52" i="19"/>
  <c r="M53" i="19"/>
  <c r="M54" i="19"/>
  <c r="M55" i="19"/>
  <c r="M56" i="19"/>
  <c r="M57" i="19"/>
  <c r="M58" i="19"/>
  <c r="M59" i="19"/>
  <c r="M60" i="19"/>
  <c r="M61" i="19"/>
  <c r="M62" i="19"/>
  <c r="M63" i="19"/>
  <c r="M64" i="19"/>
  <c r="M65" i="19"/>
  <c r="M66" i="19"/>
  <c r="M67" i="19"/>
  <c r="M68" i="19"/>
  <c r="M69" i="19"/>
  <c r="M70" i="19"/>
  <c r="M71" i="19"/>
  <c r="M72" i="19"/>
  <c r="M73" i="19"/>
  <c r="M74" i="19"/>
  <c r="M75" i="19"/>
  <c r="M76" i="19"/>
  <c r="M77" i="19"/>
  <c r="M78" i="19"/>
  <c r="M79" i="19"/>
  <c r="M80" i="19"/>
  <c r="M81" i="19"/>
  <c r="M82" i="19"/>
  <c r="M83" i="19"/>
  <c r="M84" i="19"/>
  <c r="M85" i="19"/>
  <c r="M86" i="19"/>
  <c r="M87" i="19"/>
  <c r="M88" i="19"/>
  <c r="M89" i="19"/>
  <c r="M90" i="19"/>
  <c r="M91" i="19"/>
  <c r="M92" i="19"/>
  <c r="M93" i="19"/>
  <c r="M94" i="19"/>
  <c r="M95" i="19"/>
  <c r="M96" i="19"/>
  <c r="M97" i="19"/>
  <c r="M98" i="19"/>
  <c r="M99" i="19"/>
  <c r="M100" i="19"/>
  <c r="M101" i="19"/>
  <c r="M102" i="19"/>
  <c r="M103" i="19"/>
  <c r="M104" i="19"/>
  <c r="M105" i="19"/>
  <c r="M106" i="19"/>
  <c r="M107" i="19"/>
  <c r="M108" i="19"/>
  <c r="M109" i="19"/>
  <c r="M110" i="19"/>
  <c r="M111" i="19"/>
  <c r="M112" i="19"/>
  <c r="M113" i="19"/>
  <c r="M114" i="19"/>
  <c r="M115" i="19"/>
  <c r="M116" i="19"/>
  <c r="M117" i="19"/>
  <c r="M118" i="19"/>
  <c r="M119" i="19"/>
  <c r="M120" i="19"/>
  <c r="M121" i="19"/>
  <c r="M122" i="19"/>
  <c r="M123" i="19"/>
  <c r="M124" i="19"/>
  <c r="M125" i="19"/>
  <c r="M126" i="19"/>
  <c r="M127" i="19"/>
  <c r="M128" i="19"/>
  <c r="M129" i="19"/>
  <c r="M130" i="19"/>
  <c r="M131" i="19"/>
  <c r="M132" i="19"/>
  <c r="M133" i="19"/>
  <c r="M134" i="19"/>
  <c r="M135" i="19"/>
  <c r="M136" i="19"/>
  <c r="M137" i="19"/>
  <c r="M138" i="19"/>
  <c r="M139" i="19"/>
  <c r="M140" i="19"/>
  <c r="M141" i="19"/>
  <c r="M142" i="19"/>
  <c r="M143" i="19"/>
  <c r="M144" i="19"/>
  <c r="M145" i="19"/>
  <c r="M146" i="19"/>
  <c r="M147" i="19"/>
  <c r="M148" i="19"/>
  <c r="M149" i="19"/>
  <c r="M150" i="19"/>
  <c r="M151" i="19"/>
  <c r="M152" i="19"/>
  <c r="M153" i="19"/>
  <c r="M154" i="19"/>
  <c r="M155" i="19"/>
  <c r="M156" i="19"/>
  <c r="M157" i="19"/>
  <c r="M158" i="19"/>
  <c r="M159" i="19"/>
  <c r="M160" i="19"/>
  <c r="M161" i="19"/>
  <c r="M162" i="19"/>
  <c r="M163" i="19"/>
  <c r="M164" i="19"/>
  <c r="M165" i="19"/>
  <c r="M166" i="19"/>
  <c r="M167" i="19"/>
  <c r="M168" i="19"/>
  <c r="M169" i="19"/>
  <c r="M170" i="19"/>
  <c r="M171" i="19"/>
  <c r="M172" i="19"/>
  <c r="M173" i="19"/>
  <c r="M174" i="19"/>
  <c r="M175" i="19"/>
  <c r="M176" i="19"/>
  <c r="M177" i="19"/>
  <c r="M178" i="19"/>
  <c r="M179" i="19"/>
  <c r="M180" i="19"/>
  <c r="M181" i="19"/>
  <c r="M182" i="19"/>
  <c r="M183" i="19"/>
  <c r="M184" i="19"/>
  <c r="M185" i="19"/>
  <c r="M186" i="19"/>
  <c r="M187" i="19"/>
  <c r="M188" i="19"/>
  <c r="M189" i="19"/>
  <c r="M190" i="19"/>
  <c r="M191" i="19"/>
  <c r="M192" i="19"/>
  <c r="M193" i="19"/>
  <c r="M194" i="19"/>
  <c r="M195" i="19"/>
  <c r="M196" i="19"/>
  <c r="M197" i="19"/>
  <c r="M198" i="19"/>
  <c r="M199" i="19"/>
  <c r="M200" i="19"/>
  <c r="M201" i="19"/>
  <c r="M202" i="19"/>
  <c r="M203" i="19"/>
  <c r="M204" i="19"/>
  <c r="M205" i="19"/>
  <c r="M206" i="19"/>
  <c r="M207" i="19"/>
  <c r="M208" i="19"/>
  <c r="M209" i="19"/>
  <c r="M210" i="19"/>
  <c r="M211" i="19"/>
  <c r="M212" i="19"/>
  <c r="M213" i="19"/>
  <c r="M214" i="19"/>
  <c r="M215" i="19"/>
  <c r="M216" i="19"/>
  <c r="M217" i="19"/>
  <c r="M218" i="19"/>
  <c r="M219" i="19"/>
  <c r="M220" i="19"/>
  <c r="M221" i="19"/>
  <c r="M222" i="19"/>
  <c r="M223" i="19"/>
  <c r="M224" i="19"/>
  <c r="M225" i="19"/>
  <c r="M226" i="19"/>
  <c r="M227" i="19"/>
  <c r="M228" i="19"/>
  <c r="M229" i="19"/>
  <c r="M230" i="19"/>
  <c r="M231" i="19"/>
  <c r="M232" i="19"/>
  <c r="M233" i="19"/>
  <c r="M234" i="19"/>
  <c r="M235" i="19"/>
  <c r="M236" i="19"/>
  <c r="M237" i="19"/>
  <c r="M238" i="19"/>
  <c r="M239" i="19"/>
  <c r="M240" i="19"/>
  <c r="M241" i="19"/>
  <c r="M242" i="19"/>
  <c r="M243" i="19"/>
  <c r="M244" i="19"/>
  <c r="M245" i="19"/>
  <c r="M246" i="19"/>
  <c r="M247" i="19"/>
  <c r="M248" i="19"/>
  <c r="M249" i="19"/>
  <c r="M250" i="19"/>
  <c r="M251" i="19"/>
  <c r="M252" i="19"/>
  <c r="M253" i="19"/>
  <c r="M254" i="19"/>
  <c r="M255" i="19"/>
  <c r="M256" i="19"/>
  <c r="M257" i="19"/>
  <c r="M258" i="19"/>
  <c r="M259" i="19"/>
  <c r="M260" i="19"/>
  <c r="M261" i="19"/>
  <c r="M262" i="19"/>
  <c r="M263" i="19"/>
  <c r="M264" i="19"/>
  <c r="M265" i="19"/>
  <c r="M266" i="19"/>
  <c r="M267" i="19"/>
  <c r="M268" i="19"/>
  <c r="M269" i="19"/>
  <c r="M270" i="19"/>
  <c r="M271" i="19"/>
  <c r="M272" i="19"/>
  <c r="M273" i="19"/>
  <c r="M274" i="19"/>
  <c r="M275" i="19"/>
  <c r="M276" i="19"/>
  <c r="M277" i="19"/>
  <c r="M278" i="19"/>
  <c r="M279" i="19"/>
  <c r="M280" i="19"/>
  <c r="M281" i="19"/>
  <c r="M282" i="19"/>
  <c r="M283" i="19"/>
  <c r="M284" i="19"/>
  <c r="M285" i="19"/>
  <c r="M286" i="19"/>
  <c r="M287" i="19"/>
  <c r="M288" i="19"/>
  <c r="M289" i="19"/>
  <c r="M290" i="19"/>
  <c r="M291" i="19"/>
  <c r="M292" i="19"/>
  <c r="M293" i="19"/>
  <c r="M294" i="19"/>
  <c r="M295" i="19"/>
  <c r="M296" i="19"/>
  <c r="M297" i="19"/>
  <c r="M298" i="19"/>
  <c r="M299" i="19"/>
  <c r="M300" i="19"/>
  <c r="M301" i="19"/>
  <c r="M302" i="19"/>
  <c r="M303" i="19"/>
  <c r="M304" i="19"/>
  <c r="M305" i="19"/>
  <c r="M306" i="19"/>
  <c r="M307" i="19"/>
  <c r="M308" i="19"/>
  <c r="M309" i="19"/>
  <c r="M310" i="19"/>
  <c r="M311" i="19"/>
  <c r="M312" i="19"/>
  <c r="M313" i="19"/>
  <c r="M314" i="19"/>
  <c r="M315" i="19"/>
  <c r="M316" i="19"/>
  <c r="M317" i="19"/>
  <c r="M318" i="19"/>
  <c r="M319" i="19"/>
  <c r="M320" i="19"/>
  <c r="M321" i="19"/>
  <c r="M322" i="19"/>
  <c r="M323" i="19"/>
  <c r="M324" i="19"/>
  <c r="M325" i="19"/>
  <c r="M326" i="19"/>
  <c r="M327" i="19"/>
  <c r="M328" i="19"/>
  <c r="M329" i="19"/>
  <c r="M330" i="19"/>
  <c r="M331" i="19"/>
  <c r="M332" i="19"/>
  <c r="M333" i="19"/>
  <c r="M334" i="19"/>
  <c r="M335" i="19"/>
  <c r="M336" i="19"/>
  <c r="M337" i="19"/>
  <c r="M338" i="19"/>
  <c r="M339" i="19"/>
  <c r="M340" i="19"/>
  <c r="M341" i="19"/>
  <c r="M342" i="19"/>
  <c r="M343" i="19"/>
  <c r="M344" i="19"/>
  <c r="M345" i="19"/>
  <c r="M346" i="19"/>
  <c r="M347" i="19"/>
  <c r="M348" i="19"/>
  <c r="M349" i="19"/>
  <c r="M350" i="19"/>
  <c r="M351" i="19"/>
  <c r="M352" i="19"/>
  <c r="M353" i="19"/>
  <c r="M354" i="19"/>
  <c r="M355" i="19"/>
  <c r="M356" i="19"/>
  <c r="M357" i="19"/>
  <c r="M358" i="19"/>
  <c r="M359" i="19"/>
  <c r="M360" i="19"/>
  <c r="M361" i="19"/>
  <c r="M362" i="19"/>
  <c r="M363" i="19"/>
  <c r="M364" i="19"/>
  <c r="M365" i="19"/>
  <c r="M366" i="19"/>
  <c r="M367" i="19"/>
  <c r="M368" i="19"/>
  <c r="M369" i="19"/>
  <c r="M370" i="19"/>
  <c r="M371" i="19"/>
  <c r="M372" i="19"/>
  <c r="M373" i="19"/>
  <c r="M374" i="19"/>
  <c r="M375" i="19"/>
  <c r="M376" i="19"/>
  <c r="M377" i="19"/>
  <c r="M378" i="19"/>
  <c r="M379" i="19"/>
  <c r="M380" i="19"/>
  <c r="M381" i="19"/>
  <c r="M382" i="19"/>
  <c r="M383" i="19"/>
  <c r="M384" i="19"/>
  <c r="M385" i="19"/>
  <c r="M386" i="19"/>
  <c r="M387" i="19"/>
  <c r="M388" i="19"/>
  <c r="M389" i="19"/>
  <c r="M390" i="19"/>
  <c r="M391" i="19"/>
  <c r="M392" i="19"/>
  <c r="M393" i="19"/>
  <c r="M394" i="19"/>
  <c r="M395" i="19"/>
  <c r="M396" i="19"/>
  <c r="M397" i="19"/>
  <c r="M398" i="19"/>
  <c r="M399" i="19"/>
  <c r="M400" i="19"/>
  <c r="M401" i="19"/>
  <c r="M402" i="19"/>
  <c r="M403" i="19"/>
  <c r="M404" i="19"/>
  <c r="M405" i="19"/>
  <c r="M406" i="19"/>
  <c r="M407" i="19"/>
  <c r="M408" i="19"/>
  <c r="M409" i="19"/>
  <c r="M410" i="19"/>
  <c r="M411" i="19"/>
  <c r="M412" i="19"/>
  <c r="M413" i="19"/>
  <c r="M414" i="19"/>
  <c r="M415" i="19"/>
  <c r="M416" i="19"/>
  <c r="M417" i="19"/>
  <c r="M418" i="19"/>
  <c r="M419" i="19"/>
  <c r="M420" i="19"/>
  <c r="M421" i="19"/>
  <c r="M422" i="19"/>
  <c r="M423" i="19"/>
  <c r="M424" i="19"/>
  <c r="M425" i="19"/>
  <c r="M426" i="19"/>
  <c r="M427" i="19"/>
  <c r="M428" i="19"/>
  <c r="M429" i="19"/>
  <c r="M430" i="19"/>
  <c r="M431" i="19"/>
  <c r="M432" i="19"/>
  <c r="M433" i="19"/>
  <c r="M434" i="19"/>
  <c r="M435" i="19"/>
  <c r="M436" i="19"/>
  <c r="M437" i="19"/>
  <c r="M438" i="19"/>
  <c r="M439" i="19"/>
  <c r="M440" i="19"/>
  <c r="M441" i="19"/>
  <c r="M442" i="19"/>
  <c r="M443" i="19"/>
  <c r="M444" i="19"/>
  <c r="M445" i="19"/>
  <c r="M446" i="19"/>
  <c r="M447" i="19"/>
  <c r="M448" i="19"/>
  <c r="M449" i="19"/>
  <c r="M450" i="19"/>
  <c r="M451" i="19"/>
  <c r="M452" i="19"/>
  <c r="M453" i="19"/>
  <c r="M454" i="19"/>
  <c r="M455" i="19"/>
  <c r="M456" i="19"/>
  <c r="M457" i="19"/>
  <c r="M458" i="19"/>
  <c r="M459" i="19"/>
  <c r="M460" i="19"/>
  <c r="M461" i="19"/>
  <c r="M462" i="19"/>
  <c r="M463" i="19"/>
  <c r="M464" i="19"/>
  <c r="M465" i="19"/>
  <c r="M466" i="19"/>
  <c r="M467" i="19"/>
  <c r="M2" i="19"/>
  <c r="L3" i="19"/>
  <c r="L4" i="19"/>
  <c r="L5" i="19"/>
  <c r="L6" i="19"/>
  <c r="L7" i="19"/>
  <c r="L8" i="19"/>
  <c r="L9" i="19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35" i="19"/>
  <c r="L36" i="19"/>
  <c r="L37" i="19"/>
  <c r="L38" i="19"/>
  <c r="L39" i="19"/>
  <c r="L40" i="19"/>
  <c r="L41" i="19"/>
  <c r="L42" i="19"/>
  <c r="L43" i="19"/>
  <c r="L44" i="19"/>
  <c r="L45" i="19"/>
  <c r="L46" i="19"/>
  <c r="L47" i="19"/>
  <c r="L48" i="19"/>
  <c r="L49" i="19"/>
  <c r="L50" i="19"/>
  <c r="L51" i="19"/>
  <c r="L52" i="19"/>
  <c r="L53" i="19"/>
  <c r="L54" i="19"/>
  <c r="L55" i="19"/>
  <c r="L56" i="19"/>
  <c r="L57" i="19"/>
  <c r="L58" i="19"/>
  <c r="L59" i="19"/>
  <c r="L60" i="19"/>
  <c r="L61" i="19"/>
  <c r="L62" i="19"/>
  <c r="L63" i="19"/>
  <c r="L64" i="19"/>
  <c r="L65" i="19"/>
  <c r="L66" i="19"/>
  <c r="L67" i="19"/>
  <c r="L68" i="19"/>
  <c r="L69" i="19"/>
  <c r="L70" i="19"/>
  <c r="L71" i="19"/>
  <c r="L72" i="19"/>
  <c r="L73" i="19"/>
  <c r="L74" i="19"/>
  <c r="L75" i="19"/>
  <c r="L76" i="19"/>
  <c r="L77" i="19"/>
  <c r="L78" i="19"/>
  <c r="L79" i="19"/>
  <c r="L80" i="19"/>
  <c r="L81" i="19"/>
  <c r="L82" i="19"/>
  <c r="L83" i="19"/>
  <c r="L84" i="19"/>
  <c r="L85" i="19"/>
  <c r="L86" i="19"/>
  <c r="L87" i="19"/>
  <c r="L88" i="19"/>
  <c r="L89" i="19"/>
  <c r="L90" i="19"/>
  <c r="L91" i="19"/>
  <c r="L92" i="19"/>
  <c r="L93" i="19"/>
  <c r="L94" i="19"/>
  <c r="L95" i="19"/>
  <c r="L96" i="19"/>
  <c r="L97" i="19"/>
  <c r="L98" i="19"/>
  <c r="L99" i="19"/>
  <c r="L100" i="19"/>
  <c r="L101" i="19"/>
  <c r="L102" i="19"/>
  <c r="L103" i="19"/>
  <c r="L104" i="19"/>
  <c r="L105" i="19"/>
  <c r="L106" i="19"/>
  <c r="L107" i="19"/>
  <c r="L108" i="19"/>
  <c r="L109" i="19"/>
  <c r="L110" i="19"/>
  <c r="L111" i="19"/>
  <c r="L112" i="19"/>
  <c r="L113" i="19"/>
  <c r="L114" i="19"/>
  <c r="L115" i="19"/>
  <c r="L116" i="19"/>
  <c r="L117" i="19"/>
  <c r="L118" i="19"/>
  <c r="L119" i="19"/>
  <c r="L120" i="19"/>
  <c r="L121" i="19"/>
  <c r="L122" i="19"/>
  <c r="L123" i="19"/>
  <c r="L124" i="19"/>
  <c r="L125" i="19"/>
  <c r="L126" i="19"/>
  <c r="L127" i="19"/>
  <c r="L128" i="19"/>
  <c r="L129" i="19"/>
  <c r="L130" i="19"/>
  <c r="L131" i="19"/>
  <c r="L132" i="19"/>
  <c r="L133" i="19"/>
  <c r="L134" i="19"/>
  <c r="L135" i="19"/>
  <c r="L136" i="19"/>
  <c r="L137" i="19"/>
  <c r="L138" i="19"/>
  <c r="L139" i="19"/>
  <c r="L140" i="19"/>
  <c r="L141" i="19"/>
  <c r="L142" i="19"/>
  <c r="L143" i="19"/>
  <c r="L144" i="19"/>
  <c r="L145" i="19"/>
  <c r="L146" i="19"/>
  <c r="L147" i="19"/>
  <c r="L148" i="19"/>
  <c r="L149" i="19"/>
  <c r="L150" i="19"/>
  <c r="L151" i="19"/>
  <c r="L152" i="19"/>
  <c r="L153" i="19"/>
  <c r="L154" i="19"/>
  <c r="L155" i="19"/>
  <c r="L156" i="19"/>
  <c r="L157" i="19"/>
  <c r="L158" i="19"/>
  <c r="L159" i="19"/>
  <c r="L160" i="19"/>
  <c r="L161" i="19"/>
  <c r="L162" i="19"/>
  <c r="L163" i="19"/>
  <c r="L164" i="19"/>
  <c r="L165" i="19"/>
  <c r="L166" i="19"/>
  <c r="L167" i="19"/>
  <c r="L168" i="19"/>
  <c r="L169" i="19"/>
  <c r="L170" i="19"/>
  <c r="L171" i="19"/>
  <c r="L172" i="19"/>
  <c r="L173" i="19"/>
  <c r="L174" i="19"/>
  <c r="L175" i="19"/>
  <c r="L176" i="19"/>
  <c r="L177" i="19"/>
  <c r="L178" i="19"/>
  <c r="L179" i="19"/>
  <c r="L180" i="19"/>
  <c r="L181" i="19"/>
  <c r="L182" i="19"/>
  <c r="L183" i="19"/>
  <c r="L184" i="19"/>
  <c r="L185" i="19"/>
  <c r="L186" i="19"/>
  <c r="L187" i="19"/>
  <c r="L188" i="19"/>
  <c r="L189" i="19"/>
  <c r="L190" i="19"/>
  <c r="L191" i="19"/>
  <c r="L192" i="19"/>
  <c r="L193" i="19"/>
  <c r="L194" i="19"/>
  <c r="L195" i="19"/>
  <c r="L196" i="19"/>
  <c r="L197" i="19"/>
  <c r="L198" i="19"/>
  <c r="L199" i="19"/>
  <c r="L200" i="19"/>
  <c r="L201" i="19"/>
  <c r="L202" i="19"/>
  <c r="L203" i="19"/>
  <c r="L204" i="19"/>
  <c r="L205" i="19"/>
  <c r="L206" i="19"/>
  <c r="L207" i="19"/>
  <c r="L208" i="19"/>
  <c r="L209" i="19"/>
  <c r="L210" i="19"/>
  <c r="L211" i="19"/>
  <c r="L212" i="19"/>
  <c r="L213" i="19"/>
  <c r="L214" i="19"/>
  <c r="L215" i="19"/>
  <c r="L216" i="19"/>
  <c r="L217" i="19"/>
  <c r="L218" i="19"/>
  <c r="L219" i="19"/>
  <c r="L220" i="19"/>
  <c r="L221" i="19"/>
  <c r="L222" i="19"/>
  <c r="L223" i="19"/>
  <c r="L224" i="19"/>
  <c r="L225" i="19"/>
  <c r="L226" i="19"/>
  <c r="L227" i="19"/>
  <c r="L228" i="19"/>
  <c r="L229" i="19"/>
  <c r="L230" i="19"/>
  <c r="L231" i="19"/>
  <c r="L232" i="19"/>
  <c r="L233" i="19"/>
  <c r="L234" i="19"/>
  <c r="L235" i="19"/>
  <c r="L236" i="19"/>
  <c r="L237" i="19"/>
  <c r="L238" i="19"/>
  <c r="L239" i="19"/>
  <c r="L240" i="19"/>
  <c r="L241" i="19"/>
  <c r="L242" i="19"/>
  <c r="L243" i="19"/>
  <c r="L244" i="19"/>
  <c r="L245" i="19"/>
  <c r="L246" i="19"/>
  <c r="L247" i="19"/>
  <c r="L248" i="19"/>
  <c r="L249" i="19"/>
  <c r="L250" i="19"/>
  <c r="L251" i="19"/>
  <c r="L252" i="19"/>
  <c r="L253" i="19"/>
  <c r="L254" i="19"/>
  <c r="L255" i="19"/>
  <c r="L256" i="19"/>
  <c r="L257" i="19"/>
  <c r="L258" i="19"/>
  <c r="L259" i="19"/>
  <c r="L260" i="19"/>
  <c r="L261" i="19"/>
  <c r="L262" i="19"/>
  <c r="L263" i="19"/>
  <c r="L264" i="19"/>
  <c r="L265" i="19"/>
  <c r="L266" i="19"/>
  <c r="L267" i="19"/>
  <c r="L268" i="19"/>
  <c r="L269" i="19"/>
  <c r="L270" i="19"/>
  <c r="L271" i="19"/>
  <c r="L272" i="19"/>
  <c r="L273" i="19"/>
  <c r="L274" i="19"/>
  <c r="L275" i="19"/>
  <c r="L276" i="19"/>
  <c r="L277" i="19"/>
  <c r="L278" i="19"/>
  <c r="L279" i="19"/>
  <c r="L280" i="19"/>
  <c r="L281" i="19"/>
  <c r="L282" i="19"/>
  <c r="L283" i="19"/>
  <c r="L284" i="19"/>
  <c r="L285" i="19"/>
  <c r="L286" i="19"/>
  <c r="L287" i="19"/>
  <c r="L288" i="19"/>
  <c r="L289" i="19"/>
  <c r="L290" i="19"/>
  <c r="L291" i="19"/>
  <c r="L292" i="19"/>
  <c r="L293" i="19"/>
  <c r="L294" i="19"/>
  <c r="L295" i="19"/>
  <c r="L296" i="19"/>
  <c r="L297" i="19"/>
  <c r="L298" i="19"/>
  <c r="L299" i="19"/>
  <c r="L300" i="19"/>
  <c r="L301" i="19"/>
  <c r="L302" i="19"/>
  <c r="L303" i="19"/>
  <c r="L304" i="19"/>
  <c r="L305" i="19"/>
  <c r="L306" i="19"/>
  <c r="L307" i="19"/>
  <c r="L308" i="19"/>
  <c r="L309" i="19"/>
  <c r="L310" i="19"/>
  <c r="L311" i="19"/>
  <c r="L312" i="19"/>
  <c r="L313" i="19"/>
  <c r="L314" i="19"/>
  <c r="L315" i="19"/>
  <c r="L316" i="19"/>
  <c r="L317" i="19"/>
  <c r="L318" i="19"/>
  <c r="L319" i="19"/>
  <c r="L320" i="19"/>
  <c r="L321" i="19"/>
  <c r="L322" i="19"/>
  <c r="L323" i="19"/>
  <c r="L324" i="19"/>
  <c r="L325" i="19"/>
  <c r="L326" i="19"/>
  <c r="L327" i="19"/>
  <c r="L328" i="19"/>
  <c r="L329" i="19"/>
  <c r="L330" i="19"/>
  <c r="L331" i="19"/>
  <c r="L332" i="19"/>
  <c r="L333" i="19"/>
  <c r="L334" i="19"/>
  <c r="L335" i="19"/>
  <c r="L336" i="19"/>
  <c r="L337" i="19"/>
  <c r="L338" i="19"/>
  <c r="L339" i="19"/>
  <c r="L340" i="19"/>
  <c r="L341" i="19"/>
  <c r="L342" i="19"/>
  <c r="L343" i="19"/>
  <c r="L344" i="19"/>
  <c r="L345" i="19"/>
  <c r="L346" i="19"/>
  <c r="L347" i="19"/>
  <c r="L348" i="19"/>
  <c r="L349" i="19"/>
  <c r="L350" i="19"/>
  <c r="L351" i="19"/>
  <c r="L352" i="19"/>
  <c r="L353" i="19"/>
  <c r="L354" i="19"/>
  <c r="L355" i="19"/>
  <c r="L356" i="19"/>
  <c r="L357" i="19"/>
  <c r="L358" i="19"/>
  <c r="L359" i="19"/>
  <c r="L360" i="19"/>
  <c r="L361" i="19"/>
  <c r="L362" i="19"/>
  <c r="L363" i="19"/>
  <c r="L364" i="19"/>
  <c r="L365" i="19"/>
  <c r="L366" i="19"/>
  <c r="L367" i="19"/>
  <c r="L368" i="19"/>
  <c r="L369" i="19"/>
  <c r="L370" i="19"/>
  <c r="L371" i="19"/>
  <c r="L372" i="19"/>
  <c r="L373" i="19"/>
  <c r="L374" i="19"/>
  <c r="L375" i="19"/>
  <c r="L376" i="19"/>
  <c r="L377" i="19"/>
  <c r="L378" i="19"/>
  <c r="L379" i="19"/>
  <c r="L380" i="19"/>
  <c r="L381" i="19"/>
  <c r="L382" i="19"/>
  <c r="L383" i="19"/>
  <c r="L384" i="19"/>
  <c r="L385" i="19"/>
  <c r="L386" i="19"/>
  <c r="L387" i="19"/>
  <c r="L388" i="19"/>
  <c r="L389" i="19"/>
  <c r="L390" i="19"/>
  <c r="L391" i="19"/>
  <c r="L392" i="19"/>
  <c r="L393" i="19"/>
  <c r="L394" i="19"/>
  <c r="L395" i="19"/>
  <c r="L396" i="19"/>
  <c r="L397" i="19"/>
  <c r="L398" i="19"/>
  <c r="L399" i="19"/>
  <c r="L400" i="19"/>
  <c r="L401" i="19"/>
  <c r="L402" i="19"/>
  <c r="L403" i="19"/>
  <c r="L404" i="19"/>
  <c r="L405" i="19"/>
  <c r="L406" i="19"/>
  <c r="L407" i="19"/>
  <c r="L408" i="19"/>
  <c r="L409" i="19"/>
  <c r="L410" i="19"/>
  <c r="L411" i="19"/>
  <c r="L412" i="19"/>
  <c r="L413" i="19"/>
  <c r="L414" i="19"/>
  <c r="L415" i="19"/>
  <c r="L416" i="19"/>
  <c r="L417" i="19"/>
  <c r="L418" i="19"/>
  <c r="L419" i="19"/>
  <c r="L420" i="19"/>
  <c r="L421" i="19"/>
  <c r="L422" i="19"/>
  <c r="L423" i="19"/>
  <c r="L424" i="19"/>
  <c r="L425" i="19"/>
  <c r="L426" i="19"/>
  <c r="L427" i="19"/>
  <c r="L428" i="19"/>
  <c r="L429" i="19"/>
  <c r="L430" i="19"/>
  <c r="L431" i="19"/>
  <c r="L432" i="19"/>
  <c r="L433" i="19"/>
  <c r="L434" i="19"/>
  <c r="L435" i="19"/>
  <c r="L436" i="19"/>
  <c r="L437" i="19"/>
  <c r="L438" i="19"/>
  <c r="L439" i="19"/>
  <c r="L440" i="19"/>
  <c r="L441" i="19"/>
  <c r="L442" i="19"/>
  <c r="L443" i="19"/>
  <c r="L444" i="19"/>
  <c r="L445" i="19"/>
  <c r="L446" i="19"/>
  <c r="L447" i="19"/>
  <c r="L448" i="19"/>
  <c r="L449" i="19"/>
  <c r="L450" i="19"/>
  <c r="L451" i="19"/>
  <c r="L452" i="19"/>
  <c r="L453" i="19"/>
  <c r="L454" i="19"/>
  <c r="L455" i="19"/>
  <c r="L456" i="19"/>
  <c r="L457" i="19"/>
  <c r="L458" i="19"/>
  <c r="L459" i="19"/>
  <c r="L460" i="19"/>
  <c r="L461" i="19"/>
  <c r="L462" i="19"/>
  <c r="L463" i="19"/>
  <c r="L464" i="19"/>
  <c r="L465" i="19"/>
  <c r="L466" i="19"/>
  <c r="L467" i="19"/>
  <c r="L2" i="19"/>
  <c r="K3" i="19"/>
  <c r="R3" i="19" s="1"/>
  <c r="S3" i="19" s="1"/>
  <c r="K4" i="19"/>
  <c r="R4" i="19" s="1"/>
  <c r="S4" i="19" s="1"/>
  <c r="K5" i="19"/>
  <c r="R5" i="19" s="1"/>
  <c r="S5" i="19" s="1"/>
  <c r="K6" i="19"/>
  <c r="R6" i="19" s="1"/>
  <c r="S6" i="19" s="1"/>
  <c r="K7" i="19"/>
  <c r="R7" i="19" s="1"/>
  <c r="S7" i="19" s="1"/>
  <c r="K8" i="19"/>
  <c r="R8" i="19" s="1"/>
  <c r="S8" i="19" s="1"/>
  <c r="K9" i="19"/>
  <c r="R9" i="19" s="1"/>
  <c r="S9" i="19" s="1"/>
  <c r="K10" i="19"/>
  <c r="R10" i="19" s="1"/>
  <c r="S10" i="19" s="1"/>
  <c r="K11" i="19"/>
  <c r="R11" i="19" s="1"/>
  <c r="S11" i="19" s="1"/>
  <c r="K12" i="19"/>
  <c r="R12" i="19" s="1"/>
  <c r="S12" i="19" s="1"/>
  <c r="K13" i="19"/>
  <c r="R13" i="19" s="1"/>
  <c r="S13" i="19" s="1"/>
  <c r="K14" i="19"/>
  <c r="R14" i="19" s="1"/>
  <c r="S14" i="19" s="1"/>
  <c r="K15" i="19"/>
  <c r="R15" i="19" s="1"/>
  <c r="S15" i="19" s="1"/>
  <c r="K16" i="19"/>
  <c r="R16" i="19" s="1"/>
  <c r="S16" i="19" s="1"/>
  <c r="K17" i="19"/>
  <c r="R17" i="19" s="1"/>
  <c r="S17" i="19" s="1"/>
  <c r="K18" i="19"/>
  <c r="R18" i="19" s="1"/>
  <c r="S18" i="19" s="1"/>
  <c r="K19" i="19"/>
  <c r="R19" i="19" s="1"/>
  <c r="S19" i="19" s="1"/>
  <c r="K20" i="19"/>
  <c r="R20" i="19" s="1"/>
  <c r="S20" i="19" s="1"/>
  <c r="K21" i="19"/>
  <c r="R21" i="19" s="1"/>
  <c r="S21" i="19" s="1"/>
  <c r="K22" i="19"/>
  <c r="R22" i="19" s="1"/>
  <c r="S22" i="19" s="1"/>
  <c r="K23" i="19"/>
  <c r="R23" i="19" s="1"/>
  <c r="S23" i="19" s="1"/>
  <c r="K24" i="19"/>
  <c r="R24" i="19" s="1"/>
  <c r="S24" i="19" s="1"/>
  <c r="K25" i="19"/>
  <c r="R25" i="19" s="1"/>
  <c r="S25" i="19" s="1"/>
  <c r="K26" i="19"/>
  <c r="R26" i="19" s="1"/>
  <c r="S26" i="19" s="1"/>
  <c r="K27" i="19"/>
  <c r="R27" i="19" s="1"/>
  <c r="S27" i="19" s="1"/>
  <c r="K28" i="19"/>
  <c r="R28" i="19" s="1"/>
  <c r="S28" i="19" s="1"/>
  <c r="K29" i="19"/>
  <c r="R29" i="19" s="1"/>
  <c r="S29" i="19" s="1"/>
  <c r="K30" i="19"/>
  <c r="R30" i="19" s="1"/>
  <c r="S30" i="19" s="1"/>
  <c r="K31" i="19"/>
  <c r="R31" i="19" s="1"/>
  <c r="S31" i="19" s="1"/>
  <c r="K32" i="19"/>
  <c r="R32" i="19" s="1"/>
  <c r="S32" i="19" s="1"/>
  <c r="K33" i="19"/>
  <c r="R33" i="19" s="1"/>
  <c r="S33" i="19" s="1"/>
  <c r="K34" i="19"/>
  <c r="R34" i="19" s="1"/>
  <c r="S34" i="19" s="1"/>
  <c r="K35" i="19"/>
  <c r="R35" i="19" s="1"/>
  <c r="S35" i="19" s="1"/>
  <c r="K36" i="19"/>
  <c r="R36" i="19" s="1"/>
  <c r="S36" i="19" s="1"/>
  <c r="K37" i="19"/>
  <c r="R37" i="19" s="1"/>
  <c r="S37" i="19" s="1"/>
  <c r="K38" i="19"/>
  <c r="R38" i="19" s="1"/>
  <c r="S38" i="19" s="1"/>
  <c r="K39" i="19"/>
  <c r="R39" i="19" s="1"/>
  <c r="S39" i="19" s="1"/>
  <c r="K40" i="19"/>
  <c r="R40" i="19" s="1"/>
  <c r="S40" i="19" s="1"/>
  <c r="K41" i="19"/>
  <c r="R41" i="19" s="1"/>
  <c r="S41" i="19" s="1"/>
  <c r="K42" i="19"/>
  <c r="R42" i="19" s="1"/>
  <c r="S42" i="19" s="1"/>
  <c r="K43" i="19"/>
  <c r="R43" i="19" s="1"/>
  <c r="S43" i="19" s="1"/>
  <c r="K44" i="19"/>
  <c r="R44" i="19" s="1"/>
  <c r="S44" i="19" s="1"/>
  <c r="K45" i="19"/>
  <c r="R45" i="19" s="1"/>
  <c r="S45" i="19" s="1"/>
  <c r="K46" i="19"/>
  <c r="R46" i="19" s="1"/>
  <c r="S46" i="19" s="1"/>
  <c r="K47" i="19"/>
  <c r="R47" i="19" s="1"/>
  <c r="S47" i="19" s="1"/>
  <c r="K48" i="19"/>
  <c r="R48" i="19" s="1"/>
  <c r="S48" i="19" s="1"/>
  <c r="K49" i="19"/>
  <c r="R49" i="19" s="1"/>
  <c r="S49" i="19" s="1"/>
  <c r="K50" i="19"/>
  <c r="R50" i="19" s="1"/>
  <c r="S50" i="19" s="1"/>
  <c r="K51" i="19"/>
  <c r="R51" i="19" s="1"/>
  <c r="S51" i="19" s="1"/>
  <c r="K52" i="19"/>
  <c r="R52" i="19" s="1"/>
  <c r="S52" i="19" s="1"/>
  <c r="K53" i="19"/>
  <c r="R53" i="19" s="1"/>
  <c r="S53" i="19" s="1"/>
  <c r="K54" i="19"/>
  <c r="R54" i="19" s="1"/>
  <c r="S54" i="19" s="1"/>
  <c r="K55" i="19"/>
  <c r="R55" i="19" s="1"/>
  <c r="S55" i="19" s="1"/>
  <c r="K56" i="19"/>
  <c r="R56" i="19" s="1"/>
  <c r="S56" i="19" s="1"/>
  <c r="K57" i="19"/>
  <c r="R57" i="19" s="1"/>
  <c r="S57" i="19" s="1"/>
  <c r="K58" i="19"/>
  <c r="R58" i="19" s="1"/>
  <c r="S58" i="19" s="1"/>
  <c r="K59" i="19"/>
  <c r="R59" i="19" s="1"/>
  <c r="S59" i="19" s="1"/>
  <c r="K60" i="19"/>
  <c r="R60" i="19" s="1"/>
  <c r="S60" i="19" s="1"/>
  <c r="K61" i="19"/>
  <c r="R61" i="19" s="1"/>
  <c r="S61" i="19" s="1"/>
  <c r="K62" i="19"/>
  <c r="R62" i="19" s="1"/>
  <c r="S62" i="19" s="1"/>
  <c r="K63" i="19"/>
  <c r="R63" i="19" s="1"/>
  <c r="S63" i="19" s="1"/>
  <c r="K64" i="19"/>
  <c r="R64" i="19" s="1"/>
  <c r="S64" i="19" s="1"/>
  <c r="K65" i="19"/>
  <c r="R65" i="19" s="1"/>
  <c r="S65" i="19" s="1"/>
  <c r="K66" i="19"/>
  <c r="R66" i="19" s="1"/>
  <c r="S66" i="19" s="1"/>
  <c r="K67" i="19"/>
  <c r="R67" i="19" s="1"/>
  <c r="S67" i="19" s="1"/>
  <c r="K68" i="19"/>
  <c r="R68" i="19" s="1"/>
  <c r="S68" i="19" s="1"/>
  <c r="K69" i="19"/>
  <c r="R69" i="19" s="1"/>
  <c r="S69" i="19" s="1"/>
  <c r="K70" i="19"/>
  <c r="R70" i="19" s="1"/>
  <c r="S70" i="19" s="1"/>
  <c r="K71" i="19"/>
  <c r="R71" i="19" s="1"/>
  <c r="S71" i="19" s="1"/>
  <c r="K72" i="19"/>
  <c r="R72" i="19" s="1"/>
  <c r="S72" i="19" s="1"/>
  <c r="K73" i="19"/>
  <c r="R73" i="19" s="1"/>
  <c r="S73" i="19" s="1"/>
  <c r="K74" i="19"/>
  <c r="R74" i="19" s="1"/>
  <c r="S74" i="19" s="1"/>
  <c r="K75" i="19"/>
  <c r="R75" i="19" s="1"/>
  <c r="S75" i="19" s="1"/>
  <c r="K76" i="19"/>
  <c r="R76" i="19" s="1"/>
  <c r="S76" i="19" s="1"/>
  <c r="K77" i="19"/>
  <c r="R77" i="19" s="1"/>
  <c r="S77" i="19" s="1"/>
  <c r="K78" i="19"/>
  <c r="R78" i="19" s="1"/>
  <c r="S78" i="19" s="1"/>
  <c r="K79" i="19"/>
  <c r="R79" i="19" s="1"/>
  <c r="S79" i="19" s="1"/>
  <c r="K80" i="19"/>
  <c r="R80" i="19" s="1"/>
  <c r="S80" i="19" s="1"/>
  <c r="K81" i="19"/>
  <c r="R81" i="19" s="1"/>
  <c r="S81" i="19" s="1"/>
  <c r="K82" i="19"/>
  <c r="R82" i="19" s="1"/>
  <c r="S82" i="19" s="1"/>
  <c r="K83" i="19"/>
  <c r="R83" i="19" s="1"/>
  <c r="S83" i="19" s="1"/>
  <c r="K84" i="19"/>
  <c r="R84" i="19" s="1"/>
  <c r="S84" i="19" s="1"/>
  <c r="K85" i="19"/>
  <c r="R85" i="19" s="1"/>
  <c r="S85" i="19" s="1"/>
  <c r="K86" i="19"/>
  <c r="R86" i="19" s="1"/>
  <c r="S86" i="19" s="1"/>
  <c r="K87" i="19"/>
  <c r="R87" i="19" s="1"/>
  <c r="S87" i="19" s="1"/>
  <c r="K88" i="19"/>
  <c r="R88" i="19" s="1"/>
  <c r="S88" i="19" s="1"/>
  <c r="K89" i="19"/>
  <c r="R89" i="19" s="1"/>
  <c r="S89" i="19" s="1"/>
  <c r="K90" i="19"/>
  <c r="R90" i="19" s="1"/>
  <c r="S90" i="19" s="1"/>
  <c r="K91" i="19"/>
  <c r="R91" i="19" s="1"/>
  <c r="S91" i="19" s="1"/>
  <c r="K92" i="19"/>
  <c r="R92" i="19" s="1"/>
  <c r="S92" i="19" s="1"/>
  <c r="K93" i="19"/>
  <c r="R93" i="19" s="1"/>
  <c r="S93" i="19" s="1"/>
  <c r="K94" i="19"/>
  <c r="R94" i="19" s="1"/>
  <c r="S94" i="19" s="1"/>
  <c r="K95" i="19"/>
  <c r="R95" i="19" s="1"/>
  <c r="S95" i="19" s="1"/>
  <c r="K96" i="19"/>
  <c r="R96" i="19" s="1"/>
  <c r="S96" i="19" s="1"/>
  <c r="K97" i="19"/>
  <c r="R97" i="19" s="1"/>
  <c r="S97" i="19" s="1"/>
  <c r="K98" i="19"/>
  <c r="R98" i="19" s="1"/>
  <c r="S98" i="19" s="1"/>
  <c r="K99" i="19"/>
  <c r="R99" i="19" s="1"/>
  <c r="S99" i="19" s="1"/>
  <c r="K100" i="19"/>
  <c r="R100" i="19" s="1"/>
  <c r="S100" i="19" s="1"/>
  <c r="K101" i="19"/>
  <c r="R101" i="19" s="1"/>
  <c r="S101" i="19" s="1"/>
  <c r="K102" i="19"/>
  <c r="R102" i="19" s="1"/>
  <c r="S102" i="19" s="1"/>
  <c r="K103" i="19"/>
  <c r="R103" i="19" s="1"/>
  <c r="S103" i="19" s="1"/>
  <c r="K104" i="19"/>
  <c r="R104" i="19" s="1"/>
  <c r="S104" i="19" s="1"/>
  <c r="K105" i="19"/>
  <c r="R105" i="19" s="1"/>
  <c r="S105" i="19" s="1"/>
  <c r="K106" i="19"/>
  <c r="R106" i="19" s="1"/>
  <c r="S106" i="19" s="1"/>
  <c r="K107" i="19"/>
  <c r="R107" i="19" s="1"/>
  <c r="S107" i="19" s="1"/>
  <c r="K108" i="19"/>
  <c r="R108" i="19" s="1"/>
  <c r="S108" i="19" s="1"/>
  <c r="K109" i="19"/>
  <c r="R109" i="19" s="1"/>
  <c r="S109" i="19" s="1"/>
  <c r="K110" i="19"/>
  <c r="R110" i="19" s="1"/>
  <c r="S110" i="19" s="1"/>
  <c r="K111" i="19"/>
  <c r="R111" i="19" s="1"/>
  <c r="S111" i="19" s="1"/>
  <c r="K112" i="19"/>
  <c r="R112" i="19" s="1"/>
  <c r="S112" i="19" s="1"/>
  <c r="K113" i="19"/>
  <c r="R113" i="19" s="1"/>
  <c r="S113" i="19" s="1"/>
  <c r="K114" i="19"/>
  <c r="R114" i="19" s="1"/>
  <c r="S114" i="19" s="1"/>
  <c r="K115" i="19"/>
  <c r="R115" i="19" s="1"/>
  <c r="S115" i="19" s="1"/>
  <c r="K116" i="19"/>
  <c r="R116" i="19" s="1"/>
  <c r="S116" i="19" s="1"/>
  <c r="K117" i="19"/>
  <c r="R117" i="19" s="1"/>
  <c r="S117" i="19" s="1"/>
  <c r="K118" i="19"/>
  <c r="R118" i="19" s="1"/>
  <c r="S118" i="19" s="1"/>
  <c r="K119" i="19"/>
  <c r="R119" i="19" s="1"/>
  <c r="S119" i="19" s="1"/>
  <c r="K120" i="19"/>
  <c r="R120" i="19" s="1"/>
  <c r="S120" i="19" s="1"/>
  <c r="K121" i="19"/>
  <c r="R121" i="19" s="1"/>
  <c r="S121" i="19" s="1"/>
  <c r="K122" i="19"/>
  <c r="R122" i="19" s="1"/>
  <c r="S122" i="19" s="1"/>
  <c r="K123" i="19"/>
  <c r="R123" i="19" s="1"/>
  <c r="S123" i="19" s="1"/>
  <c r="K124" i="19"/>
  <c r="R124" i="19" s="1"/>
  <c r="S124" i="19" s="1"/>
  <c r="K125" i="19"/>
  <c r="R125" i="19" s="1"/>
  <c r="S125" i="19" s="1"/>
  <c r="K126" i="19"/>
  <c r="R126" i="19" s="1"/>
  <c r="S126" i="19" s="1"/>
  <c r="K127" i="19"/>
  <c r="R127" i="19" s="1"/>
  <c r="S127" i="19" s="1"/>
  <c r="K128" i="19"/>
  <c r="R128" i="19" s="1"/>
  <c r="S128" i="19" s="1"/>
  <c r="K129" i="19"/>
  <c r="R129" i="19" s="1"/>
  <c r="S129" i="19" s="1"/>
  <c r="K130" i="19"/>
  <c r="R130" i="19" s="1"/>
  <c r="S130" i="19" s="1"/>
  <c r="K131" i="19"/>
  <c r="R131" i="19" s="1"/>
  <c r="S131" i="19" s="1"/>
  <c r="K132" i="19"/>
  <c r="R132" i="19" s="1"/>
  <c r="S132" i="19" s="1"/>
  <c r="K133" i="19"/>
  <c r="R133" i="19" s="1"/>
  <c r="S133" i="19" s="1"/>
  <c r="K134" i="19"/>
  <c r="R134" i="19" s="1"/>
  <c r="S134" i="19" s="1"/>
  <c r="K135" i="19"/>
  <c r="R135" i="19" s="1"/>
  <c r="S135" i="19" s="1"/>
  <c r="K136" i="19"/>
  <c r="R136" i="19" s="1"/>
  <c r="S136" i="19" s="1"/>
  <c r="K137" i="19"/>
  <c r="R137" i="19" s="1"/>
  <c r="S137" i="19" s="1"/>
  <c r="K138" i="19"/>
  <c r="R138" i="19" s="1"/>
  <c r="S138" i="19" s="1"/>
  <c r="K139" i="19"/>
  <c r="R139" i="19" s="1"/>
  <c r="S139" i="19" s="1"/>
  <c r="K140" i="19"/>
  <c r="R140" i="19" s="1"/>
  <c r="S140" i="19" s="1"/>
  <c r="K141" i="19"/>
  <c r="R141" i="19" s="1"/>
  <c r="S141" i="19" s="1"/>
  <c r="K142" i="19"/>
  <c r="R142" i="19" s="1"/>
  <c r="S142" i="19" s="1"/>
  <c r="K143" i="19"/>
  <c r="R143" i="19" s="1"/>
  <c r="S143" i="19" s="1"/>
  <c r="K144" i="19"/>
  <c r="R144" i="19" s="1"/>
  <c r="S144" i="19" s="1"/>
  <c r="K145" i="19"/>
  <c r="R145" i="19" s="1"/>
  <c r="S145" i="19" s="1"/>
  <c r="K146" i="19"/>
  <c r="R146" i="19" s="1"/>
  <c r="S146" i="19" s="1"/>
  <c r="K147" i="19"/>
  <c r="R147" i="19" s="1"/>
  <c r="S147" i="19" s="1"/>
  <c r="K148" i="19"/>
  <c r="R148" i="19" s="1"/>
  <c r="S148" i="19" s="1"/>
  <c r="K149" i="19"/>
  <c r="R149" i="19" s="1"/>
  <c r="S149" i="19" s="1"/>
  <c r="K150" i="19"/>
  <c r="R150" i="19" s="1"/>
  <c r="S150" i="19" s="1"/>
  <c r="K151" i="19"/>
  <c r="R151" i="19" s="1"/>
  <c r="S151" i="19" s="1"/>
  <c r="K152" i="19"/>
  <c r="R152" i="19" s="1"/>
  <c r="S152" i="19" s="1"/>
  <c r="K153" i="19"/>
  <c r="R153" i="19" s="1"/>
  <c r="S153" i="19" s="1"/>
  <c r="K154" i="19"/>
  <c r="R154" i="19" s="1"/>
  <c r="S154" i="19" s="1"/>
  <c r="K155" i="19"/>
  <c r="R155" i="19" s="1"/>
  <c r="S155" i="19" s="1"/>
  <c r="K156" i="19"/>
  <c r="R156" i="19" s="1"/>
  <c r="S156" i="19" s="1"/>
  <c r="K157" i="19"/>
  <c r="R157" i="19" s="1"/>
  <c r="S157" i="19" s="1"/>
  <c r="K158" i="19"/>
  <c r="R158" i="19" s="1"/>
  <c r="S158" i="19" s="1"/>
  <c r="K159" i="19"/>
  <c r="R159" i="19" s="1"/>
  <c r="S159" i="19" s="1"/>
  <c r="K160" i="19"/>
  <c r="R160" i="19" s="1"/>
  <c r="S160" i="19" s="1"/>
  <c r="K161" i="19"/>
  <c r="R161" i="19" s="1"/>
  <c r="S161" i="19" s="1"/>
  <c r="K162" i="19"/>
  <c r="R162" i="19" s="1"/>
  <c r="S162" i="19" s="1"/>
  <c r="K163" i="19"/>
  <c r="R163" i="19" s="1"/>
  <c r="S163" i="19" s="1"/>
  <c r="K164" i="19"/>
  <c r="R164" i="19" s="1"/>
  <c r="S164" i="19" s="1"/>
  <c r="K165" i="19"/>
  <c r="R165" i="19" s="1"/>
  <c r="S165" i="19" s="1"/>
  <c r="K166" i="19"/>
  <c r="R166" i="19" s="1"/>
  <c r="S166" i="19" s="1"/>
  <c r="K167" i="19"/>
  <c r="R167" i="19" s="1"/>
  <c r="S167" i="19" s="1"/>
  <c r="K168" i="19"/>
  <c r="R168" i="19" s="1"/>
  <c r="S168" i="19" s="1"/>
  <c r="K169" i="19"/>
  <c r="R169" i="19" s="1"/>
  <c r="S169" i="19" s="1"/>
  <c r="K170" i="19"/>
  <c r="R170" i="19" s="1"/>
  <c r="S170" i="19" s="1"/>
  <c r="K171" i="19"/>
  <c r="R171" i="19" s="1"/>
  <c r="S171" i="19" s="1"/>
  <c r="K172" i="19"/>
  <c r="R172" i="19" s="1"/>
  <c r="S172" i="19" s="1"/>
  <c r="K173" i="19"/>
  <c r="R173" i="19" s="1"/>
  <c r="S173" i="19" s="1"/>
  <c r="K174" i="19"/>
  <c r="R174" i="19" s="1"/>
  <c r="S174" i="19" s="1"/>
  <c r="K175" i="19"/>
  <c r="R175" i="19" s="1"/>
  <c r="S175" i="19" s="1"/>
  <c r="K176" i="19"/>
  <c r="R176" i="19" s="1"/>
  <c r="S176" i="19" s="1"/>
  <c r="K177" i="19"/>
  <c r="R177" i="19" s="1"/>
  <c r="S177" i="19" s="1"/>
  <c r="K178" i="19"/>
  <c r="R178" i="19" s="1"/>
  <c r="S178" i="19" s="1"/>
  <c r="K179" i="19"/>
  <c r="R179" i="19" s="1"/>
  <c r="S179" i="19" s="1"/>
  <c r="K180" i="19"/>
  <c r="R180" i="19" s="1"/>
  <c r="S180" i="19" s="1"/>
  <c r="K181" i="19"/>
  <c r="R181" i="19" s="1"/>
  <c r="S181" i="19" s="1"/>
  <c r="K182" i="19"/>
  <c r="R182" i="19" s="1"/>
  <c r="S182" i="19" s="1"/>
  <c r="K183" i="19"/>
  <c r="R183" i="19" s="1"/>
  <c r="S183" i="19" s="1"/>
  <c r="K184" i="19"/>
  <c r="R184" i="19" s="1"/>
  <c r="S184" i="19" s="1"/>
  <c r="K185" i="19"/>
  <c r="R185" i="19" s="1"/>
  <c r="S185" i="19" s="1"/>
  <c r="K186" i="19"/>
  <c r="R186" i="19" s="1"/>
  <c r="S186" i="19" s="1"/>
  <c r="K187" i="19"/>
  <c r="R187" i="19" s="1"/>
  <c r="S187" i="19" s="1"/>
  <c r="K188" i="19"/>
  <c r="R188" i="19" s="1"/>
  <c r="S188" i="19" s="1"/>
  <c r="K189" i="19"/>
  <c r="R189" i="19" s="1"/>
  <c r="S189" i="19" s="1"/>
  <c r="K190" i="19"/>
  <c r="R190" i="19" s="1"/>
  <c r="S190" i="19" s="1"/>
  <c r="K191" i="19"/>
  <c r="R191" i="19" s="1"/>
  <c r="S191" i="19" s="1"/>
  <c r="K192" i="19"/>
  <c r="R192" i="19" s="1"/>
  <c r="S192" i="19" s="1"/>
  <c r="K193" i="19"/>
  <c r="R193" i="19" s="1"/>
  <c r="S193" i="19" s="1"/>
  <c r="K194" i="19"/>
  <c r="R194" i="19" s="1"/>
  <c r="S194" i="19" s="1"/>
  <c r="K195" i="19"/>
  <c r="R195" i="19" s="1"/>
  <c r="S195" i="19" s="1"/>
  <c r="K196" i="19"/>
  <c r="R196" i="19" s="1"/>
  <c r="S196" i="19" s="1"/>
  <c r="K197" i="19"/>
  <c r="R197" i="19" s="1"/>
  <c r="S197" i="19" s="1"/>
  <c r="K198" i="19"/>
  <c r="R198" i="19" s="1"/>
  <c r="S198" i="19" s="1"/>
  <c r="K199" i="19"/>
  <c r="R199" i="19" s="1"/>
  <c r="S199" i="19" s="1"/>
  <c r="K200" i="19"/>
  <c r="R200" i="19" s="1"/>
  <c r="S200" i="19" s="1"/>
  <c r="K201" i="19"/>
  <c r="R201" i="19" s="1"/>
  <c r="S201" i="19" s="1"/>
  <c r="K202" i="19"/>
  <c r="R202" i="19" s="1"/>
  <c r="S202" i="19" s="1"/>
  <c r="K203" i="19"/>
  <c r="R203" i="19" s="1"/>
  <c r="S203" i="19" s="1"/>
  <c r="K204" i="19"/>
  <c r="R204" i="19" s="1"/>
  <c r="S204" i="19" s="1"/>
  <c r="K205" i="19"/>
  <c r="R205" i="19" s="1"/>
  <c r="S205" i="19" s="1"/>
  <c r="K206" i="19"/>
  <c r="R206" i="19" s="1"/>
  <c r="S206" i="19" s="1"/>
  <c r="K207" i="19"/>
  <c r="R207" i="19" s="1"/>
  <c r="S207" i="19" s="1"/>
  <c r="K208" i="19"/>
  <c r="R208" i="19" s="1"/>
  <c r="S208" i="19" s="1"/>
  <c r="K209" i="19"/>
  <c r="R209" i="19" s="1"/>
  <c r="S209" i="19" s="1"/>
  <c r="K210" i="19"/>
  <c r="R210" i="19" s="1"/>
  <c r="S210" i="19" s="1"/>
  <c r="K211" i="19"/>
  <c r="R211" i="19" s="1"/>
  <c r="S211" i="19" s="1"/>
  <c r="K212" i="19"/>
  <c r="R212" i="19" s="1"/>
  <c r="S212" i="19" s="1"/>
  <c r="K213" i="19"/>
  <c r="R213" i="19" s="1"/>
  <c r="S213" i="19" s="1"/>
  <c r="K214" i="19"/>
  <c r="R214" i="19" s="1"/>
  <c r="S214" i="19" s="1"/>
  <c r="K215" i="19"/>
  <c r="R215" i="19" s="1"/>
  <c r="S215" i="19" s="1"/>
  <c r="K216" i="19"/>
  <c r="R216" i="19" s="1"/>
  <c r="S216" i="19" s="1"/>
  <c r="K217" i="19"/>
  <c r="R217" i="19" s="1"/>
  <c r="S217" i="19" s="1"/>
  <c r="K218" i="19"/>
  <c r="R218" i="19" s="1"/>
  <c r="S218" i="19" s="1"/>
  <c r="K219" i="19"/>
  <c r="R219" i="19" s="1"/>
  <c r="S219" i="19" s="1"/>
  <c r="K220" i="19"/>
  <c r="R220" i="19" s="1"/>
  <c r="S220" i="19" s="1"/>
  <c r="K221" i="19"/>
  <c r="R221" i="19" s="1"/>
  <c r="S221" i="19" s="1"/>
  <c r="K222" i="19"/>
  <c r="R222" i="19" s="1"/>
  <c r="S222" i="19" s="1"/>
  <c r="K223" i="19"/>
  <c r="R223" i="19" s="1"/>
  <c r="S223" i="19" s="1"/>
  <c r="K224" i="19"/>
  <c r="R224" i="19" s="1"/>
  <c r="S224" i="19" s="1"/>
  <c r="K225" i="19"/>
  <c r="R225" i="19" s="1"/>
  <c r="S225" i="19" s="1"/>
  <c r="K226" i="19"/>
  <c r="R226" i="19" s="1"/>
  <c r="S226" i="19" s="1"/>
  <c r="K227" i="19"/>
  <c r="R227" i="19" s="1"/>
  <c r="S227" i="19" s="1"/>
  <c r="K228" i="19"/>
  <c r="R228" i="19" s="1"/>
  <c r="S228" i="19" s="1"/>
  <c r="K229" i="19"/>
  <c r="R229" i="19" s="1"/>
  <c r="S229" i="19" s="1"/>
  <c r="K230" i="19"/>
  <c r="R230" i="19" s="1"/>
  <c r="S230" i="19" s="1"/>
  <c r="K231" i="19"/>
  <c r="R231" i="19" s="1"/>
  <c r="S231" i="19" s="1"/>
  <c r="K232" i="19"/>
  <c r="R232" i="19" s="1"/>
  <c r="S232" i="19" s="1"/>
  <c r="K233" i="19"/>
  <c r="R233" i="19" s="1"/>
  <c r="S233" i="19" s="1"/>
  <c r="K234" i="19"/>
  <c r="R234" i="19" s="1"/>
  <c r="S234" i="19" s="1"/>
  <c r="K235" i="19"/>
  <c r="R235" i="19" s="1"/>
  <c r="S235" i="19" s="1"/>
  <c r="K236" i="19"/>
  <c r="R236" i="19" s="1"/>
  <c r="S236" i="19" s="1"/>
  <c r="K237" i="19"/>
  <c r="R237" i="19" s="1"/>
  <c r="S237" i="19" s="1"/>
  <c r="K238" i="19"/>
  <c r="R238" i="19" s="1"/>
  <c r="S238" i="19" s="1"/>
  <c r="K239" i="19"/>
  <c r="R239" i="19" s="1"/>
  <c r="S239" i="19" s="1"/>
  <c r="K240" i="19"/>
  <c r="R240" i="19" s="1"/>
  <c r="S240" i="19" s="1"/>
  <c r="K241" i="19"/>
  <c r="R241" i="19" s="1"/>
  <c r="S241" i="19" s="1"/>
  <c r="K242" i="19"/>
  <c r="R242" i="19" s="1"/>
  <c r="S242" i="19" s="1"/>
  <c r="K243" i="19"/>
  <c r="R243" i="19" s="1"/>
  <c r="S243" i="19" s="1"/>
  <c r="K244" i="19"/>
  <c r="R244" i="19" s="1"/>
  <c r="S244" i="19" s="1"/>
  <c r="K245" i="19"/>
  <c r="R245" i="19" s="1"/>
  <c r="S245" i="19" s="1"/>
  <c r="K246" i="19"/>
  <c r="R246" i="19" s="1"/>
  <c r="S246" i="19" s="1"/>
  <c r="K247" i="19"/>
  <c r="R247" i="19" s="1"/>
  <c r="S247" i="19" s="1"/>
  <c r="K248" i="19"/>
  <c r="R248" i="19" s="1"/>
  <c r="S248" i="19" s="1"/>
  <c r="K249" i="19"/>
  <c r="R249" i="19" s="1"/>
  <c r="S249" i="19" s="1"/>
  <c r="K250" i="19"/>
  <c r="R250" i="19" s="1"/>
  <c r="S250" i="19" s="1"/>
  <c r="K251" i="19"/>
  <c r="R251" i="19" s="1"/>
  <c r="S251" i="19" s="1"/>
  <c r="K252" i="19"/>
  <c r="R252" i="19" s="1"/>
  <c r="S252" i="19" s="1"/>
  <c r="K253" i="19"/>
  <c r="R253" i="19" s="1"/>
  <c r="S253" i="19" s="1"/>
  <c r="K254" i="19"/>
  <c r="R254" i="19" s="1"/>
  <c r="S254" i="19" s="1"/>
  <c r="K255" i="19"/>
  <c r="R255" i="19" s="1"/>
  <c r="S255" i="19" s="1"/>
  <c r="K256" i="19"/>
  <c r="R256" i="19" s="1"/>
  <c r="S256" i="19" s="1"/>
  <c r="K257" i="19"/>
  <c r="R257" i="19" s="1"/>
  <c r="S257" i="19" s="1"/>
  <c r="K258" i="19"/>
  <c r="R258" i="19" s="1"/>
  <c r="S258" i="19" s="1"/>
  <c r="K259" i="19"/>
  <c r="R259" i="19" s="1"/>
  <c r="S259" i="19" s="1"/>
  <c r="K260" i="19"/>
  <c r="R260" i="19" s="1"/>
  <c r="S260" i="19" s="1"/>
  <c r="K261" i="19"/>
  <c r="R261" i="19" s="1"/>
  <c r="S261" i="19" s="1"/>
  <c r="K262" i="19"/>
  <c r="R262" i="19" s="1"/>
  <c r="S262" i="19" s="1"/>
  <c r="K263" i="19"/>
  <c r="R263" i="19" s="1"/>
  <c r="S263" i="19" s="1"/>
  <c r="K264" i="19"/>
  <c r="R264" i="19" s="1"/>
  <c r="S264" i="19" s="1"/>
  <c r="K265" i="19"/>
  <c r="R265" i="19" s="1"/>
  <c r="S265" i="19" s="1"/>
  <c r="K266" i="19"/>
  <c r="R266" i="19" s="1"/>
  <c r="S266" i="19" s="1"/>
  <c r="K267" i="19"/>
  <c r="R267" i="19" s="1"/>
  <c r="S267" i="19" s="1"/>
  <c r="K268" i="19"/>
  <c r="R268" i="19" s="1"/>
  <c r="S268" i="19" s="1"/>
  <c r="K269" i="19"/>
  <c r="R269" i="19" s="1"/>
  <c r="S269" i="19" s="1"/>
  <c r="K270" i="19"/>
  <c r="R270" i="19" s="1"/>
  <c r="S270" i="19" s="1"/>
  <c r="K271" i="19"/>
  <c r="R271" i="19" s="1"/>
  <c r="S271" i="19" s="1"/>
  <c r="K272" i="19"/>
  <c r="R272" i="19" s="1"/>
  <c r="S272" i="19" s="1"/>
  <c r="K273" i="19"/>
  <c r="R273" i="19" s="1"/>
  <c r="S273" i="19" s="1"/>
  <c r="K274" i="19"/>
  <c r="R274" i="19" s="1"/>
  <c r="S274" i="19" s="1"/>
  <c r="K275" i="19"/>
  <c r="R275" i="19" s="1"/>
  <c r="S275" i="19" s="1"/>
  <c r="K276" i="19"/>
  <c r="R276" i="19" s="1"/>
  <c r="S276" i="19" s="1"/>
  <c r="K277" i="19"/>
  <c r="R277" i="19" s="1"/>
  <c r="S277" i="19" s="1"/>
  <c r="K278" i="19"/>
  <c r="R278" i="19" s="1"/>
  <c r="S278" i="19" s="1"/>
  <c r="K279" i="19"/>
  <c r="R279" i="19" s="1"/>
  <c r="S279" i="19" s="1"/>
  <c r="K280" i="19"/>
  <c r="R280" i="19" s="1"/>
  <c r="S280" i="19" s="1"/>
  <c r="K281" i="19"/>
  <c r="R281" i="19" s="1"/>
  <c r="S281" i="19" s="1"/>
  <c r="K282" i="19"/>
  <c r="R282" i="19" s="1"/>
  <c r="S282" i="19" s="1"/>
  <c r="K283" i="19"/>
  <c r="R283" i="19" s="1"/>
  <c r="S283" i="19" s="1"/>
  <c r="K284" i="19"/>
  <c r="R284" i="19" s="1"/>
  <c r="S284" i="19" s="1"/>
  <c r="K285" i="19"/>
  <c r="R285" i="19" s="1"/>
  <c r="S285" i="19" s="1"/>
  <c r="K286" i="19"/>
  <c r="R286" i="19" s="1"/>
  <c r="S286" i="19" s="1"/>
  <c r="K287" i="19"/>
  <c r="R287" i="19" s="1"/>
  <c r="S287" i="19" s="1"/>
  <c r="K288" i="19"/>
  <c r="R288" i="19" s="1"/>
  <c r="S288" i="19" s="1"/>
  <c r="K289" i="19"/>
  <c r="R289" i="19" s="1"/>
  <c r="S289" i="19" s="1"/>
  <c r="K290" i="19"/>
  <c r="R290" i="19" s="1"/>
  <c r="S290" i="19" s="1"/>
  <c r="K291" i="19"/>
  <c r="R291" i="19" s="1"/>
  <c r="S291" i="19" s="1"/>
  <c r="K292" i="19"/>
  <c r="R292" i="19" s="1"/>
  <c r="S292" i="19" s="1"/>
  <c r="K293" i="19"/>
  <c r="R293" i="19" s="1"/>
  <c r="S293" i="19" s="1"/>
  <c r="K294" i="19"/>
  <c r="R294" i="19" s="1"/>
  <c r="S294" i="19" s="1"/>
  <c r="K295" i="19"/>
  <c r="R295" i="19" s="1"/>
  <c r="S295" i="19" s="1"/>
  <c r="K296" i="19"/>
  <c r="R296" i="19" s="1"/>
  <c r="S296" i="19" s="1"/>
  <c r="K297" i="19"/>
  <c r="R297" i="19" s="1"/>
  <c r="S297" i="19" s="1"/>
  <c r="K298" i="19"/>
  <c r="R298" i="19" s="1"/>
  <c r="S298" i="19" s="1"/>
  <c r="K299" i="19"/>
  <c r="R299" i="19" s="1"/>
  <c r="S299" i="19" s="1"/>
  <c r="K300" i="19"/>
  <c r="R300" i="19" s="1"/>
  <c r="S300" i="19" s="1"/>
  <c r="K301" i="19"/>
  <c r="R301" i="19" s="1"/>
  <c r="S301" i="19" s="1"/>
  <c r="K302" i="19"/>
  <c r="R302" i="19" s="1"/>
  <c r="S302" i="19" s="1"/>
  <c r="K303" i="19"/>
  <c r="R303" i="19" s="1"/>
  <c r="S303" i="19" s="1"/>
  <c r="K304" i="19"/>
  <c r="R304" i="19" s="1"/>
  <c r="S304" i="19" s="1"/>
  <c r="K305" i="19"/>
  <c r="R305" i="19" s="1"/>
  <c r="S305" i="19" s="1"/>
  <c r="K306" i="19"/>
  <c r="R306" i="19" s="1"/>
  <c r="S306" i="19" s="1"/>
  <c r="K307" i="19"/>
  <c r="R307" i="19" s="1"/>
  <c r="S307" i="19" s="1"/>
  <c r="K308" i="19"/>
  <c r="R308" i="19" s="1"/>
  <c r="S308" i="19" s="1"/>
  <c r="K309" i="19"/>
  <c r="R309" i="19" s="1"/>
  <c r="S309" i="19" s="1"/>
  <c r="K310" i="19"/>
  <c r="R310" i="19" s="1"/>
  <c r="S310" i="19" s="1"/>
  <c r="K311" i="19"/>
  <c r="R311" i="19" s="1"/>
  <c r="S311" i="19" s="1"/>
  <c r="K312" i="19"/>
  <c r="R312" i="19" s="1"/>
  <c r="S312" i="19" s="1"/>
  <c r="K313" i="19"/>
  <c r="R313" i="19" s="1"/>
  <c r="S313" i="19" s="1"/>
  <c r="K314" i="19"/>
  <c r="R314" i="19" s="1"/>
  <c r="S314" i="19" s="1"/>
  <c r="K315" i="19"/>
  <c r="R315" i="19" s="1"/>
  <c r="S315" i="19" s="1"/>
  <c r="K316" i="19"/>
  <c r="R316" i="19" s="1"/>
  <c r="S316" i="19" s="1"/>
  <c r="K317" i="19"/>
  <c r="R317" i="19" s="1"/>
  <c r="S317" i="19" s="1"/>
  <c r="K318" i="19"/>
  <c r="R318" i="19" s="1"/>
  <c r="S318" i="19" s="1"/>
  <c r="K319" i="19"/>
  <c r="R319" i="19" s="1"/>
  <c r="S319" i="19" s="1"/>
  <c r="K320" i="19"/>
  <c r="R320" i="19" s="1"/>
  <c r="S320" i="19" s="1"/>
  <c r="K321" i="19"/>
  <c r="R321" i="19" s="1"/>
  <c r="S321" i="19" s="1"/>
  <c r="K322" i="19"/>
  <c r="R322" i="19" s="1"/>
  <c r="S322" i="19" s="1"/>
  <c r="K323" i="19"/>
  <c r="R323" i="19" s="1"/>
  <c r="S323" i="19" s="1"/>
  <c r="K324" i="19"/>
  <c r="R324" i="19" s="1"/>
  <c r="S324" i="19" s="1"/>
  <c r="K325" i="19"/>
  <c r="R325" i="19" s="1"/>
  <c r="S325" i="19" s="1"/>
  <c r="K326" i="19"/>
  <c r="R326" i="19" s="1"/>
  <c r="S326" i="19" s="1"/>
  <c r="K327" i="19"/>
  <c r="R327" i="19" s="1"/>
  <c r="S327" i="19" s="1"/>
  <c r="K328" i="19"/>
  <c r="R328" i="19" s="1"/>
  <c r="S328" i="19" s="1"/>
  <c r="K329" i="19"/>
  <c r="R329" i="19" s="1"/>
  <c r="S329" i="19" s="1"/>
  <c r="K330" i="19"/>
  <c r="R330" i="19" s="1"/>
  <c r="S330" i="19" s="1"/>
  <c r="K331" i="19"/>
  <c r="R331" i="19" s="1"/>
  <c r="S331" i="19" s="1"/>
  <c r="K332" i="19"/>
  <c r="R332" i="19" s="1"/>
  <c r="S332" i="19" s="1"/>
  <c r="K333" i="19"/>
  <c r="R333" i="19" s="1"/>
  <c r="S333" i="19" s="1"/>
  <c r="K334" i="19"/>
  <c r="R334" i="19" s="1"/>
  <c r="S334" i="19" s="1"/>
  <c r="K335" i="19"/>
  <c r="R335" i="19" s="1"/>
  <c r="S335" i="19" s="1"/>
  <c r="K336" i="19"/>
  <c r="R336" i="19" s="1"/>
  <c r="S336" i="19" s="1"/>
  <c r="K337" i="19"/>
  <c r="R337" i="19" s="1"/>
  <c r="S337" i="19" s="1"/>
  <c r="K338" i="19"/>
  <c r="R338" i="19" s="1"/>
  <c r="S338" i="19" s="1"/>
  <c r="K339" i="19"/>
  <c r="R339" i="19" s="1"/>
  <c r="S339" i="19" s="1"/>
  <c r="K340" i="19"/>
  <c r="R340" i="19" s="1"/>
  <c r="S340" i="19" s="1"/>
  <c r="K341" i="19"/>
  <c r="R341" i="19" s="1"/>
  <c r="S341" i="19" s="1"/>
  <c r="K342" i="19"/>
  <c r="R342" i="19" s="1"/>
  <c r="S342" i="19" s="1"/>
  <c r="K343" i="19"/>
  <c r="R343" i="19" s="1"/>
  <c r="S343" i="19" s="1"/>
  <c r="K344" i="19"/>
  <c r="R344" i="19" s="1"/>
  <c r="S344" i="19" s="1"/>
  <c r="K345" i="19"/>
  <c r="R345" i="19" s="1"/>
  <c r="S345" i="19" s="1"/>
  <c r="K346" i="19"/>
  <c r="R346" i="19" s="1"/>
  <c r="S346" i="19" s="1"/>
  <c r="K347" i="19"/>
  <c r="R347" i="19" s="1"/>
  <c r="S347" i="19" s="1"/>
  <c r="K348" i="19"/>
  <c r="R348" i="19" s="1"/>
  <c r="S348" i="19" s="1"/>
  <c r="K349" i="19"/>
  <c r="R349" i="19" s="1"/>
  <c r="S349" i="19" s="1"/>
  <c r="K350" i="19"/>
  <c r="R350" i="19" s="1"/>
  <c r="S350" i="19" s="1"/>
  <c r="K351" i="19"/>
  <c r="R351" i="19" s="1"/>
  <c r="S351" i="19" s="1"/>
  <c r="K352" i="19"/>
  <c r="R352" i="19" s="1"/>
  <c r="S352" i="19" s="1"/>
  <c r="K353" i="19"/>
  <c r="R353" i="19" s="1"/>
  <c r="S353" i="19" s="1"/>
  <c r="K354" i="19"/>
  <c r="R354" i="19" s="1"/>
  <c r="S354" i="19" s="1"/>
  <c r="K355" i="19"/>
  <c r="R355" i="19" s="1"/>
  <c r="S355" i="19" s="1"/>
  <c r="K356" i="19"/>
  <c r="R356" i="19" s="1"/>
  <c r="S356" i="19" s="1"/>
  <c r="K357" i="19"/>
  <c r="R357" i="19" s="1"/>
  <c r="S357" i="19" s="1"/>
  <c r="K358" i="19"/>
  <c r="R358" i="19" s="1"/>
  <c r="S358" i="19" s="1"/>
  <c r="K359" i="19"/>
  <c r="R359" i="19" s="1"/>
  <c r="S359" i="19" s="1"/>
  <c r="K360" i="19"/>
  <c r="R360" i="19" s="1"/>
  <c r="S360" i="19" s="1"/>
  <c r="K361" i="19"/>
  <c r="R361" i="19" s="1"/>
  <c r="S361" i="19" s="1"/>
  <c r="K362" i="19"/>
  <c r="R362" i="19" s="1"/>
  <c r="S362" i="19" s="1"/>
  <c r="K363" i="19"/>
  <c r="R363" i="19" s="1"/>
  <c r="S363" i="19" s="1"/>
  <c r="K364" i="19"/>
  <c r="R364" i="19" s="1"/>
  <c r="S364" i="19" s="1"/>
  <c r="K365" i="19"/>
  <c r="R365" i="19" s="1"/>
  <c r="S365" i="19" s="1"/>
  <c r="K366" i="19"/>
  <c r="R366" i="19" s="1"/>
  <c r="S366" i="19" s="1"/>
  <c r="K367" i="19"/>
  <c r="R367" i="19" s="1"/>
  <c r="S367" i="19" s="1"/>
  <c r="K368" i="19"/>
  <c r="R368" i="19" s="1"/>
  <c r="S368" i="19" s="1"/>
  <c r="K369" i="19"/>
  <c r="R369" i="19" s="1"/>
  <c r="S369" i="19" s="1"/>
  <c r="K370" i="19"/>
  <c r="R370" i="19" s="1"/>
  <c r="S370" i="19" s="1"/>
  <c r="K371" i="19"/>
  <c r="R371" i="19" s="1"/>
  <c r="S371" i="19" s="1"/>
  <c r="K372" i="19"/>
  <c r="R372" i="19" s="1"/>
  <c r="S372" i="19" s="1"/>
  <c r="K373" i="19"/>
  <c r="R373" i="19" s="1"/>
  <c r="S373" i="19" s="1"/>
  <c r="K374" i="19"/>
  <c r="R374" i="19" s="1"/>
  <c r="S374" i="19" s="1"/>
  <c r="K375" i="19"/>
  <c r="R375" i="19" s="1"/>
  <c r="S375" i="19" s="1"/>
  <c r="K376" i="19"/>
  <c r="R376" i="19" s="1"/>
  <c r="S376" i="19" s="1"/>
  <c r="K377" i="19"/>
  <c r="R377" i="19" s="1"/>
  <c r="S377" i="19" s="1"/>
  <c r="K378" i="19"/>
  <c r="R378" i="19" s="1"/>
  <c r="S378" i="19" s="1"/>
  <c r="K379" i="19"/>
  <c r="R379" i="19" s="1"/>
  <c r="S379" i="19" s="1"/>
  <c r="K380" i="19"/>
  <c r="R380" i="19" s="1"/>
  <c r="S380" i="19" s="1"/>
  <c r="K381" i="19"/>
  <c r="R381" i="19" s="1"/>
  <c r="S381" i="19" s="1"/>
  <c r="K382" i="19"/>
  <c r="R382" i="19" s="1"/>
  <c r="S382" i="19" s="1"/>
  <c r="K383" i="19"/>
  <c r="R383" i="19" s="1"/>
  <c r="S383" i="19" s="1"/>
  <c r="K384" i="19"/>
  <c r="R384" i="19" s="1"/>
  <c r="S384" i="19" s="1"/>
  <c r="K385" i="19"/>
  <c r="R385" i="19" s="1"/>
  <c r="S385" i="19" s="1"/>
  <c r="K386" i="19"/>
  <c r="R386" i="19" s="1"/>
  <c r="S386" i="19" s="1"/>
  <c r="K387" i="19"/>
  <c r="R387" i="19" s="1"/>
  <c r="S387" i="19" s="1"/>
  <c r="K388" i="19"/>
  <c r="R388" i="19" s="1"/>
  <c r="S388" i="19" s="1"/>
  <c r="K389" i="19"/>
  <c r="R389" i="19" s="1"/>
  <c r="S389" i="19" s="1"/>
  <c r="K390" i="19"/>
  <c r="R390" i="19" s="1"/>
  <c r="S390" i="19" s="1"/>
  <c r="K391" i="19"/>
  <c r="R391" i="19" s="1"/>
  <c r="S391" i="19" s="1"/>
  <c r="K392" i="19"/>
  <c r="R392" i="19" s="1"/>
  <c r="S392" i="19" s="1"/>
  <c r="K393" i="19"/>
  <c r="R393" i="19" s="1"/>
  <c r="S393" i="19" s="1"/>
  <c r="K394" i="19"/>
  <c r="R394" i="19" s="1"/>
  <c r="S394" i="19" s="1"/>
  <c r="K395" i="19"/>
  <c r="R395" i="19" s="1"/>
  <c r="S395" i="19" s="1"/>
  <c r="K396" i="19"/>
  <c r="R396" i="19" s="1"/>
  <c r="S396" i="19" s="1"/>
  <c r="K397" i="19"/>
  <c r="R397" i="19" s="1"/>
  <c r="S397" i="19" s="1"/>
  <c r="K398" i="19"/>
  <c r="R398" i="19" s="1"/>
  <c r="S398" i="19" s="1"/>
  <c r="K399" i="19"/>
  <c r="R399" i="19" s="1"/>
  <c r="S399" i="19" s="1"/>
  <c r="K400" i="19"/>
  <c r="R400" i="19" s="1"/>
  <c r="S400" i="19" s="1"/>
  <c r="K401" i="19"/>
  <c r="R401" i="19" s="1"/>
  <c r="S401" i="19" s="1"/>
  <c r="K402" i="19"/>
  <c r="R402" i="19" s="1"/>
  <c r="S402" i="19" s="1"/>
  <c r="K403" i="19"/>
  <c r="R403" i="19" s="1"/>
  <c r="S403" i="19" s="1"/>
  <c r="K404" i="19"/>
  <c r="R404" i="19" s="1"/>
  <c r="S404" i="19" s="1"/>
  <c r="K405" i="19"/>
  <c r="R405" i="19" s="1"/>
  <c r="S405" i="19" s="1"/>
  <c r="K406" i="19"/>
  <c r="R406" i="19" s="1"/>
  <c r="S406" i="19" s="1"/>
  <c r="K407" i="19"/>
  <c r="R407" i="19" s="1"/>
  <c r="S407" i="19" s="1"/>
  <c r="K408" i="19"/>
  <c r="R408" i="19" s="1"/>
  <c r="S408" i="19" s="1"/>
  <c r="K409" i="19"/>
  <c r="R409" i="19" s="1"/>
  <c r="S409" i="19" s="1"/>
  <c r="K410" i="19"/>
  <c r="R410" i="19" s="1"/>
  <c r="S410" i="19" s="1"/>
  <c r="K411" i="19"/>
  <c r="R411" i="19" s="1"/>
  <c r="S411" i="19" s="1"/>
  <c r="K412" i="19"/>
  <c r="R412" i="19" s="1"/>
  <c r="S412" i="19" s="1"/>
  <c r="K413" i="19"/>
  <c r="R413" i="19" s="1"/>
  <c r="S413" i="19" s="1"/>
  <c r="K414" i="19"/>
  <c r="R414" i="19" s="1"/>
  <c r="S414" i="19" s="1"/>
  <c r="K415" i="19"/>
  <c r="R415" i="19" s="1"/>
  <c r="S415" i="19" s="1"/>
  <c r="K416" i="19"/>
  <c r="R416" i="19" s="1"/>
  <c r="S416" i="19" s="1"/>
  <c r="K417" i="19"/>
  <c r="R417" i="19" s="1"/>
  <c r="S417" i="19" s="1"/>
  <c r="K418" i="19"/>
  <c r="R418" i="19" s="1"/>
  <c r="S418" i="19" s="1"/>
  <c r="K419" i="19"/>
  <c r="R419" i="19" s="1"/>
  <c r="S419" i="19" s="1"/>
  <c r="K420" i="19"/>
  <c r="R420" i="19" s="1"/>
  <c r="S420" i="19" s="1"/>
  <c r="K421" i="19"/>
  <c r="R421" i="19" s="1"/>
  <c r="S421" i="19" s="1"/>
  <c r="K422" i="19"/>
  <c r="R422" i="19" s="1"/>
  <c r="S422" i="19" s="1"/>
  <c r="K423" i="19"/>
  <c r="R423" i="19" s="1"/>
  <c r="S423" i="19" s="1"/>
  <c r="K424" i="19"/>
  <c r="R424" i="19" s="1"/>
  <c r="S424" i="19" s="1"/>
  <c r="K425" i="19"/>
  <c r="R425" i="19" s="1"/>
  <c r="S425" i="19" s="1"/>
  <c r="K426" i="19"/>
  <c r="R426" i="19" s="1"/>
  <c r="S426" i="19" s="1"/>
  <c r="K427" i="19"/>
  <c r="R427" i="19" s="1"/>
  <c r="S427" i="19" s="1"/>
  <c r="K428" i="19"/>
  <c r="R428" i="19" s="1"/>
  <c r="S428" i="19" s="1"/>
  <c r="K429" i="19"/>
  <c r="R429" i="19" s="1"/>
  <c r="S429" i="19" s="1"/>
  <c r="K430" i="19"/>
  <c r="R430" i="19" s="1"/>
  <c r="S430" i="19" s="1"/>
  <c r="K431" i="19"/>
  <c r="R431" i="19" s="1"/>
  <c r="S431" i="19" s="1"/>
  <c r="K432" i="19"/>
  <c r="R432" i="19" s="1"/>
  <c r="S432" i="19" s="1"/>
  <c r="K433" i="19"/>
  <c r="R433" i="19" s="1"/>
  <c r="S433" i="19" s="1"/>
  <c r="K434" i="19"/>
  <c r="R434" i="19" s="1"/>
  <c r="S434" i="19" s="1"/>
  <c r="K435" i="19"/>
  <c r="R435" i="19" s="1"/>
  <c r="S435" i="19" s="1"/>
  <c r="K436" i="19"/>
  <c r="R436" i="19" s="1"/>
  <c r="S436" i="19" s="1"/>
  <c r="K437" i="19"/>
  <c r="R437" i="19" s="1"/>
  <c r="S437" i="19" s="1"/>
  <c r="K438" i="19"/>
  <c r="R438" i="19" s="1"/>
  <c r="S438" i="19" s="1"/>
  <c r="K439" i="19"/>
  <c r="R439" i="19" s="1"/>
  <c r="S439" i="19" s="1"/>
  <c r="K440" i="19"/>
  <c r="R440" i="19" s="1"/>
  <c r="S440" i="19" s="1"/>
  <c r="K441" i="19"/>
  <c r="R441" i="19" s="1"/>
  <c r="S441" i="19" s="1"/>
  <c r="K442" i="19"/>
  <c r="R442" i="19" s="1"/>
  <c r="S442" i="19" s="1"/>
  <c r="K443" i="19"/>
  <c r="R443" i="19" s="1"/>
  <c r="S443" i="19" s="1"/>
  <c r="K444" i="19"/>
  <c r="R444" i="19" s="1"/>
  <c r="S444" i="19" s="1"/>
  <c r="K445" i="19"/>
  <c r="R445" i="19" s="1"/>
  <c r="S445" i="19" s="1"/>
  <c r="K446" i="19"/>
  <c r="R446" i="19" s="1"/>
  <c r="S446" i="19" s="1"/>
  <c r="K447" i="19"/>
  <c r="R447" i="19" s="1"/>
  <c r="S447" i="19" s="1"/>
  <c r="K448" i="19"/>
  <c r="R448" i="19" s="1"/>
  <c r="S448" i="19" s="1"/>
  <c r="K449" i="19"/>
  <c r="R449" i="19" s="1"/>
  <c r="S449" i="19" s="1"/>
  <c r="K450" i="19"/>
  <c r="R450" i="19" s="1"/>
  <c r="S450" i="19" s="1"/>
  <c r="K451" i="19"/>
  <c r="R451" i="19" s="1"/>
  <c r="S451" i="19" s="1"/>
  <c r="K452" i="19"/>
  <c r="R452" i="19" s="1"/>
  <c r="S452" i="19" s="1"/>
  <c r="K453" i="19"/>
  <c r="R453" i="19" s="1"/>
  <c r="S453" i="19" s="1"/>
  <c r="K454" i="19"/>
  <c r="R454" i="19" s="1"/>
  <c r="S454" i="19" s="1"/>
  <c r="K455" i="19"/>
  <c r="R455" i="19" s="1"/>
  <c r="S455" i="19" s="1"/>
  <c r="K456" i="19"/>
  <c r="R456" i="19" s="1"/>
  <c r="S456" i="19" s="1"/>
  <c r="K457" i="19"/>
  <c r="R457" i="19" s="1"/>
  <c r="S457" i="19" s="1"/>
  <c r="K458" i="19"/>
  <c r="R458" i="19" s="1"/>
  <c r="S458" i="19" s="1"/>
  <c r="K459" i="19"/>
  <c r="R459" i="19" s="1"/>
  <c r="S459" i="19" s="1"/>
  <c r="K460" i="19"/>
  <c r="R460" i="19" s="1"/>
  <c r="S460" i="19" s="1"/>
  <c r="K461" i="19"/>
  <c r="R461" i="19" s="1"/>
  <c r="S461" i="19" s="1"/>
  <c r="K462" i="19"/>
  <c r="R462" i="19" s="1"/>
  <c r="S462" i="19" s="1"/>
  <c r="K463" i="19"/>
  <c r="R463" i="19" s="1"/>
  <c r="S463" i="19" s="1"/>
  <c r="K464" i="19"/>
  <c r="R464" i="19" s="1"/>
  <c r="S464" i="19" s="1"/>
  <c r="K465" i="19"/>
  <c r="R465" i="19" s="1"/>
  <c r="S465" i="19" s="1"/>
  <c r="K466" i="19"/>
  <c r="R466" i="19" s="1"/>
  <c r="S466" i="19" s="1"/>
  <c r="K467" i="19"/>
  <c r="R467" i="19" s="1"/>
  <c r="S467" i="19" s="1"/>
  <c r="K2" i="19"/>
  <c r="R2" i="19" s="1"/>
  <c r="S2" i="19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2" i="2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2" i="5"/>
  <c r="E3" i="10"/>
  <c r="F3" i="10" s="1"/>
  <c r="E4" i="10"/>
  <c r="F4" i="10" s="1"/>
  <c r="E5" i="10"/>
  <c r="F5" i="10" s="1"/>
  <c r="E6" i="10"/>
  <c r="F6" i="10" s="1"/>
  <c r="E7" i="10"/>
  <c r="F7" i="10" s="1"/>
  <c r="E8" i="10"/>
  <c r="F8" i="10" s="1"/>
  <c r="E9" i="10"/>
  <c r="F9" i="10" s="1"/>
  <c r="E10" i="10"/>
  <c r="F10" i="10" s="1"/>
  <c r="E11" i="10"/>
  <c r="F11" i="10" s="1"/>
  <c r="E12" i="10"/>
  <c r="F12" i="10" s="1"/>
  <c r="E13" i="10"/>
  <c r="F13" i="10" s="1"/>
  <c r="E14" i="10"/>
  <c r="F14" i="10" s="1"/>
  <c r="E15" i="10"/>
  <c r="F15" i="10" s="1"/>
  <c r="E16" i="10"/>
  <c r="F16" i="10" s="1"/>
  <c r="E17" i="10"/>
  <c r="F17" i="10" s="1"/>
  <c r="E18" i="10"/>
  <c r="F18" i="10" s="1"/>
  <c r="E19" i="10"/>
  <c r="F19" i="10" s="1"/>
  <c r="E20" i="10"/>
  <c r="F20" i="10" s="1"/>
  <c r="E21" i="10"/>
  <c r="F21" i="10" s="1"/>
  <c r="E22" i="10"/>
  <c r="F22" i="10" s="1"/>
  <c r="E23" i="10"/>
  <c r="F23" i="10" s="1"/>
  <c r="E24" i="10"/>
  <c r="F24" i="10" s="1"/>
  <c r="E25" i="10"/>
  <c r="F25" i="10" s="1"/>
  <c r="E26" i="10"/>
  <c r="F26" i="10" s="1"/>
  <c r="E27" i="10"/>
  <c r="F27" i="10" s="1"/>
  <c r="E28" i="10"/>
  <c r="F28" i="10" s="1"/>
  <c r="E29" i="10"/>
  <c r="F29" i="10" s="1"/>
  <c r="E30" i="10"/>
  <c r="F30" i="10" s="1"/>
  <c r="E31" i="10"/>
  <c r="F31" i="10" s="1"/>
  <c r="E32" i="10"/>
  <c r="F32" i="10" s="1"/>
  <c r="E33" i="10"/>
  <c r="F33" i="10" s="1"/>
  <c r="E34" i="10"/>
  <c r="F34" i="10" s="1"/>
  <c r="E35" i="10"/>
  <c r="F35" i="10" s="1"/>
  <c r="E36" i="10"/>
  <c r="F36" i="10" s="1"/>
  <c r="E37" i="10"/>
  <c r="F37" i="10" s="1"/>
  <c r="E38" i="10"/>
  <c r="F38" i="10" s="1"/>
  <c r="E39" i="10"/>
  <c r="F39" i="10" s="1"/>
  <c r="E40" i="10"/>
  <c r="F40" i="10" s="1"/>
  <c r="E41" i="10"/>
  <c r="F41" i="10" s="1"/>
  <c r="E42" i="10"/>
  <c r="F42" i="10" s="1"/>
  <c r="E43" i="10"/>
  <c r="F43" i="10" s="1"/>
  <c r="E44" i="10"/>
  <c r="F44" i="10" s="1"/>
  <c r="E45" i="10"/>
  <c r="F45" i="10" s="1"/>
  <c r="E46" i="10"/>
  <c r="F46" i="10" s="1"/>
  <c r="E47" i="10"/>
  <c r="F47" i="10" s="1"/>
  <c r="E48" i="10"/>
  <c r="F48" i="10" s="1"/>
  <c r="E49" i="10"/>
  <c r="F49" i="10" s="1"/>
  <c r="E50" i="10"/>
  <c r="F50" i="10" s="1"/>
  <c r="E51" i="10"/>
  <c r="F51" i="10" s="1"/>
  <c r="E52" i="10"/>
  <c r="F52" i="10" s="1"/>
  <c r="E53" i="10"/>
  <c r="F53" i="10" s="1"/>
  <c r="E54" i="10"/>
  <c r="F54" i="10" s="1"/>
  <c r="E55" i="10"/>
  <c r="F55" i="10" s="1"/>
  <c r="E56" i="10"/>
  <c r="F56" i="10" s="1"/>
  <c r="E57" i="10"/>
  <c r="F57" i="10" s="1"/>
  <c r="E58" i="10"/>
  <c r="F58" i="10" s="1"/>
  <c r="E59" i="10"/>
  <c r="F59" i="10" s="1"/>
  <c r="E60" i="10"/>
  <c r="F60" i="10" s="1"/>
  <c r="E61" i="10"/>
  <c r="F61" i="10" s="1"/>
  <c r="E62" i="10"/>
  <c r="F62" i="10" s="1"/>
  <c r="E2" i="10"/>
  <c r="F2" i="10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" i="1"/>
  <c r="E2" i="20" l="1"/>
  <c r="T441" i="19"/>
  <c r="T271" i="19"/>
  <c r="U271" i="19" s="1"/>
  <c r="T438" i="19"/>
  <c r="U438" i="19" s="1"/>
  <c r="T306" i="19"/>
  <c r="U306" i="19" s="1"/>
  <c r="T210" i="19"/>
  <c r="U210" i="19" s="1"/>
  <c r="T102" i="19"/>
  <c r="U102" i="19" s="1"/>
  <c r="T461" i="19"/>
  <c r="U461" i="19" s="1"/>
  <c r="T449" i="19"/>
  <c r="U449" i="19" s="1"/>
  <c r="T437" i="19"/>
  <c r="U437" i="19" s="1"/>
  <c r="T425" i="19"/>
  <c r="U425" i="19" s="1"/>
  <c r="T413" i="19"/>
  <c r="U413" i="19" s="1"/>
  <c r="T401" i="19"/>
  <c r="U401" i="19" s="1"/>
  <c r="T389" i="19"/>
  <c r="U389" i="19" s="1"/>
  <c r="T377" i="19"/>
  <c r="U377" i="19" s="1"/>
  <c r="T365" i="19"/>
  <c r="U365" i="19" s="1"/>
  <c r="T353" i="19"/>
  <c r="U353" i="19" s="1"/>
  <c r="T341" i="19"/>
  <c r="U341" i="19" s="1"/>
  <c r="T281" i="19"/>
  <c r="U281" i="19" s="1"/>
  <c r="T269" i="19"/>
  <c r="U269" i="19" s="1"/>
  <c r="T257" i="19"/>
  <c r="U257" i="19" s="1"/>
  <c r="T245" i="19"/>
  <c r="U245" i="19" s="1"/>
  <c r="T233" i="19"/>
  <c r="U233" i="19" s="1"/>
  <c r="T221" i="19"/>
  <c r="U221" i="19" s="1"/>
  <c r="T209" i="19"/>
  <c r="U209" i="19" s="1"/>
  <c r="T197" i="19"/>
  <c r="U197" i="19" s="1"/>
  <c r="T185" i="19"/>
  <c r="U185" i="19" s="1"/>
  <c r="T173" i="19"/>
  <c r="U173" i="19" s="1"/>
  <c r="T161" i="19"/>
  <c r="U161" i="19" s="1"/>
  <c r="T149" i="19"/>
  <c r="U149" i="19" s="1"/>
  <c r="T137" i="19"/>
  <c r="U137" i="19" s="1"/>
  <c r="T125" i="19"/>
  <c r="U125" i="19" s="1"/>
  <c r="T113" i="19"/>
  <c r="U113" i="19" s="1"/>
  <c r="T101" i="19"/>
  <c r="U101" i="19" s="1"/>
  <c r="T89" i="19"/>
  <c r="U89" i="19" s="1"/>
  <c r="T77" i="19"/>
  <c r="U77" i="19" s="1"/>
  <c r="T65" i="19"/>
  <c r="U65" i="19" s="1"/>
  <c r="T53" i="19"/>
  <c r="U53" i="19" s="1"/>
  <c r="T41" i="19"/>
  <c r="U41" i="19" s="1"/>
  <c r="T29" i="19"/>
  <c r="U29" i="19" s="1"/>
  <c r="T17" i="19"/>
  <c r="U17" i="19" s="1"/>
  <c r="T5" i="19"/>
  <c r="U5" i="19" s="1"/>
  <c r="T439" i="19"/>
  <c r="U439" i="19" s="1"/>
  <c r="T43" i="19"/>
  <c r="U43" i="19" s="1"/>
  <c r="T462" i="19"/>
  <c r="U462" i="19" s="1"/>
  <c r="T366" i="19"/>
  <c r="U366" i="19" s="1"/>
  <c r="T270" i="19"/>
  <c r="U270" i="19" s="1"/>
  <c r="T126" i="19"/>
  <c r="U126" i="19" s="1"/>
  <c r="T460" i="19"/>
  <c r="U460" i="19" s="1"/>
  <c r="T448" i="19"/>
  <c r="U448" i="19" s="1"/>
  <c r="T436" i="19"/>
  <c r="U436" i="19" s="1"/>
  <c r="T424" i="19"/>
  <c r="U424" i="19" s="1"/>
  <c r="T412" i="19"/>
  <c r="U412" i="19" s="1"/>
  <c r="T400" i="19"/>
  <c r="U400" i="19" s="1"/>
  <c r="T388" i="19"/>
  <c r="U388" i="19" s="1"/>
  <c r="T376" i="19"/>
  <c r="U376" i="19" s="1"/>
  <c r="T364" i="19"/>
  <c r="U364" i="19" s="1"/>
  <c r="T352" i="19"/>
  <c r="U352" i="19" s="1"/>
  <c r="T340" i="19"/>
  <c r="U340" i="19" s="1"/>
  <c r="T328" i="19"/>
  <c r="U328" i="19" s="1"/>
  <c r="T316" i="19"/>
  <c r="U316" i="19" s="1"/>
  <c r="T304" i="19"/>
  <c r="U304" i="19" s="1"/>
  <c r="T292" i="19"/>
  <c r="U292" i="19" s="1"/>
  <c r="T256" i="19"/>
  <c r="U256" i="19" s="1"/>
  <c r="T244" i="19"/>
  <c r="U244" i="19" s="1"/>
  <c r="T232" i="19"/>
  <c r="U232" i="19" s="1"/>
  <c r="T220" i="19"/>
  <c r="U220" i="19" s="1"/>
  <c r="T208" i="19"/>
  <c r="U208" i="19" s="1"/>
  <c r="T196" i="19"/>
  <c r="U196" i="19" s="1"/>
  <c r="T184" i="19"/>
  <c r="U184" i="19" s="1"/>
  <c r="T172" i="19"/>
  <c r="U172" i="19" s="1"/>
  <c r="T160" i="19"/>
  <c r="U160" i="19" s="1"/>
  <c r="T148" i="19"/>
  <c r="U148" i="19" s="1"/>
  <c r="T136" i="19"/>
  <c r="U136" i="19" s="1"/>
  <c r="T124" i="19"/>
  <c r="U124" i="19" s="1"/>
  <c r="T112" i="19"/>
  <c r="U112" i="19" s="1"/>
  <c r="T88" i="19"/>
  <c r="U88" i="19" s="1"/>
  <c r="T76" i="19"/>
  <c r="U76" i="19" s="1"/>
  <c r="T64" i="19"/>
  <c r="U64" i="19" s="1"/>
  <c r="T52" i="19"/>
  <c r="U52" i="19" s="1"/>
  <c r="T28" i="19"/>
  <c r="U28" i="19" s="1"/>
  <c r="T16" i="19"/>
  <c r="U16" i="19" s="1"/>
  <c r="T4" i="19"/>
  <c r="U4" i="19" s="1"/>
  <c r="T319" i="19"/>
  <c r="U319" i="19" s="1"/>
  <c r="T414" i="19"/>
  <c r="U414" i="19" s="1"/>
  <c r="T258" i="19"/>
  <c r="U258" i="19" s="1"/>
  <c r="T198" i="19"/>
  <c r="U198" i="19" s="1"/>
  <c r="T150" i="19"/>
  <c r="U150" i="19" s="1"/>
  <c r="T78" i="19"/>
  <c r="U78" i="19" s="1"/>
  <c r="T66" i="19"/>
  <c r="U66" i="19" s="1"/>
  <c r="T459" i="19"/>
  <c r="U459" i="19" s="1"/>
  <c r="T447" i="19"/>
  <c r="U447" i="19" s="1"/>
  <c r="T435" i="19"/>
  <c r="U435" i="19" s="1"/>
  <c r="T423" i="19"/>
  <c r="U423" i="19" s="1"/>
  <c r="T411" i="19"/>
  <c r="U411" i="19" s="1"/>
  <c r="T399" i="19"/>
  <c r="U399" i="19" s="1"/>
  <c r="T387" i="19"/>
  <c r="U387" i="19" s="1"/>
  <c r="T375" i="19"/>
  <c r="U375" i="19" s="1"/>
  <c r="T363" i="19"/>
  <c r="U363" i="19" s="1"/>
  <c r="T351" i="19"/>
  <c r="U351" i="19" s="1"/>
  <c r="T339" i="19"/>
  <c r="U339" i="19" s="1"/>
  <c r="T327" i="19"/>
  <c r="U327" i="19" s="1"/>
  <c r="T315" i="19"/>
  <c r="U315" i="19" s="1"/>
  <c r="T303" i="19"/>
  <c r="U303" i="19" s="1"/>
  <c r="T291" i="19"/>
  <c r="U291" i="19" s="1"/>
  <c r="T279" i="19"/>
  <c r="U279" i="19" s="1"/>
  <c r="T267" i="19"/>
  <c r="U267" i="19" s="1"/>
  <c r="T219" i="19"/>
  <c r="U219" i="19" s="1"/>
  <c r="T207" i="19"/>
  <c r="U207" i="19" s="1"/>
  <c r="T195" i="19"/>
  <c r="U195" i="19" s="1"/>
  <c r="T183" i="19"/>
  <c r="U183" i="19" s="1"/>
  <c r="T171" i="19"/>
  <c r="U171" i="19" s="1"/>
  <c r="T147" i="19"/>
  <c r="U147" i="19" s="1"/>
  <c r="T135" i="19"/>
  <c r="U135" i="19" s="1"/>
  <c r="T123" i="19"/>
  <c r="U123" i="19" s="1"/>
  <c r="T111" i="19"/>
  <c r="U111" i="19" s="1"/>
  <c r="T99" i="19"/>
  <c r="U99" i="19" s="1"/>
  <c r="T87" i="19"/>
  <c r="U87" i="19" s="1"/>
  <c r="T75" i="19"/>
  <c r="U75" i="19" s="1"/>
  <c r="T63" i="19"/>
  <c r="U63" i="19" s="1"/>
  <c r="T51" i="19"/>
  <c r="U51" i="19" s="1"/>
  <c r="T27" i="19"/>
  <c r="U27" i="19" s="1"/>
  <c r="T15" i="19"/>
  <c r="U15" i="19" s="1"/>
  <c r="T3" i="19"/>
  <c r="U3" i="19" s="1"/>
  <c r="T463" i="19"/>
  <c r="U463" i="19" s="1"/>
  <c r="T426" i="19"/>
  <c r="U426" i="19" s="1"/>
  <c r="T318" i="19"/>
  <c r="U318" i="19" s="1"/>
  <c r="T234" i="19"/>
  <c r="U234" i="19" s="1"/>
  <c r="T162" i="19"/>
  <c r="U162" i="19" s="1"/>
  <c r="T90" i="19"/>
  <c r="U90" i="19" s="1"/>
  <c r="T446" i="19"/>
  <c r="U446" i="19" s="1"/>
  <c r="T434" i="19"/>
  <c r="U434" i="19" s="1"/>
  <c r="T422" i="19"/>
  <c r="U422" i="19" s="1"/>
  <c r="T410" i="19"/>
  <c r="U410" i="19" s="1"/>
  <c r="T398" i="19"/>
  <c r="U398" i="19" s="1"/>
  <c r="T386" i="19"/>
  <c r="U386" i="19" s="1"/>
  <c r="T374" i="19"/>
  <c r="U374" i="19" s="1"/>
  <c r="T362" i="19"/>
  <c r="U362" i="19" s="1"/>
  <c r="T350" i="19"/>
  <c r="U350" i="19" s="1"/>
  <c r="T338" i="19"/>
  <c r="U338" i="19" s="1"/>
  <c r="T326" i="19"/>
  <c r="U326" i="19" s="1"/>
  <c r="T314" i="19"/>
  <c r="U314" i="19" s="1"/>
  <c r="T302" i="19"/>
  <c r="U302" i="19" s="1"/>
  <c r="T290" i="19"/>
  <c r="U290" i="19" s="1"/>
  <c r="T278" i="19"/>
  <c r="U278" i="19" s="1"/>
  <c r="T266" i="19"/>
  <c r="U266" i="19" s="1"/>
  <c r="T242" i="19"/>
  <c r="U242" i="19" s="1"/>
  <c r="T230" i="19"/>
  <c r="U230" i="19" s="1"/>
  <c r="T194" i="19"/>
  <c r="U194" i="19" s="1"/>
  <c r="T182" i="19"/>
  <c r="U182" i="19" s="1"/>
  <c r="T122" i="19"/>
  <c r="U122" i="19" s="1"/>
  <c r="T110" i="19"/>
  <c r="U110" i="19" s="1"/>
  <c r="T98" i="19"/>
  <c r="U98" i="19" s="1"/>
  <c r="T74" i="19"/>
  <c r="U74" i="19" s="1"/>
  <c r="T62" i="19"/>
  <c r="U62" i="19" s="1"/>
  <c r="T50" i="19"/>
  <c r="U50" i="19" s="1"/>
  <c r="T38" i="19"/>
  <c r="U38" i="19" s="1"/>
  <c r="T26" i="19"/>
  <c r="U26" i="19" s="1"/>
  <c r="T14" i="19"/>
  <c r="U14" i="19" s="1"/>
  <c r="T402" i="19"/>
  <c r="U402" i="19" s="1"/>
  <c r="T246" i="19"/>
  <c r="U246" i="19" s="1"/>
  <c r="T138" i="19"/>
  <c r="U138" i="19" s="1"/>
  <c r="T42" i="19"/>
  <c r="U42" i="19" s="1"/>
  <c r="T457" i="19"/>
  <c r="U457" i="19" s="1"/>
  <c r="T445" i="19"/>
  <c r="U445" i="19" s="1"/>
  <c r="T433" i="19"/>
  <c r="U433" i="19" s="1"/>
  <c r="T421" i="19"/>
  <c r="U421" i="19" s="1"/>
  <c r="T409" i="19"/>
  <c r="U409" i="19" s="1"/>
  <c r="T397" i="19"/>
  <c r="U397" i="19" s="1"/>
  <c r="T385" i="19"/>
  <c r="U385" i="19" s="1"/>
  <c r="T373" i="19"/>
  <c r="U373" i="19" s="1"/>
  <c r="T361" i="19"/>
  <c r="U361" i="19" s="1"/>
  <c r="T337" i="19"/>
  <c r="U337" i="19" s="1"/>
  <c r="T325" i="19"/>
  <c r="U325" i="19" s="1"/>
  <c r="T313" i="19"/>
  <c r="U313" i="19" s="1"/>
  <c r="T301" i="19"/>
  <c r="U301" i="19" s="1"/>
  <c r="T289" i="19"/>
  <c r="U289" i="19" s="1"/>
  <c r="T277" i="19"/>
  <c r="U277" i="19" s="1"/>
  <c r="T265" i="19"/>
  <c r="U265" i="19" s="1"/>
  <c r="T253" i="19"/>
  <c r="U253" i="19" s="1"/>
  <c r="T229" i="19"/>
  <c r="U229" i="19" s="1"/>
  <c r="T217" i="19"/>
  <c r="U217" i="19" s="1"/>
  <c r="T205" i="19"/>
  <c r="U205" i="19" s="1"/>
  <c r="T169" i="19"/>
  <c r="U169" i="19" s="1"/>
  <c r="T157" i="19"/>
  <c r="U157" i="19" s="1"/>
  <c r="T73" i="19"/>
  <c r="U73" i="19" s="1"/>
  <c r="T61" i="19"/>
  <c r="U61" i="19" s="1"/>
  <c r="T49" i="19"/>
  <c r="U49" i="19" s="1"/>
  <c r="T37" i="19"/>
  <c r="U37" i="19" s="1"/>
  <c r="T13" i="19"/>
  <c r="U13" i="19" s="1"/>
  <c r="T390" i="19"/>
  <c r="U390" i="19" s="1"/>
  <c r="T294" i="19"/>
  <c r="U294" i="19" s="1"/>
  <c r="T186" i="19"/>
  <c r="U186" i="19" s="1"/>
  <c r="T54" i="19"/>
  <c r="U54" i="19" s="1"/>
  <c r="T2" i="19"/>
  <c r="U2" i="19" s="1"/>
  <c r="T456" i="19"/>
  <c r="U456" i="19" s="1"/>
  <c r="T444" i="19"/>
  <c r="U444" i="19" s="1"/>
  <c r="T432" i="19"/>
  <c r="U432" i="19" s="1"/>
  <c r="T420" i="19"/>
  <c r="U420" i="19" s="1"/>
  <c r="T408" i="19"/>
  <c r="U408" i="19" s="1"/>
  <c r="T396" i="19"/>
  <c r="U396" i="19" s="1"/>
  <c r="T384" i="19"/>
  <c r="U384" i="19" s="1"/>
  <c r="T372" i="19"/>
  <c r="U372" i="19" s="1"/>
  <c r="T360" i="19"/>
  <c r="U360" i="19" s="1"/>
  <c r="T348" i="19"/>
  <c r="U348" i="19" s="1"/>
  <c r="T336" i="19"/>
  <c r="U336" i="19" s="1"/>
  <c r="T324" i="19"/>
  <c r="U324" i="19" s="1"/>
  <c r="T312" i="19"/>
  <c r="U312" i="19" s="1"/>
  <c r="T300" i="19"/>
  <c r="U300" i="19" s="1"/>
  <c r="T288" i="19"/>
  <c r="U288" i="19" s="1"/>
  <c r="T276" i="19"/>
  <c r="U276" i="19" s="1"/>
  <c r="T264" i="19"/>
  <c r="U264" i="19" s="1"/>
  <c r="T252" i="19"/>
  <c r="U252" i="19" s="1"/>
  <c r="T240" i="19"/>
  <c r="U240" i="19" s="1"/>
  <c r="T216" i="19"/>
  <c r="U216" i="19" s="1"/>
  <c r="T204" i="19"/>
  <c r="U204" i="19" s="1"/>
  <c r="T192" i="19"/>
  <c r="U192" i="19" s="1"/>
  <c r="T180" i="19"/>
  <c r="U180" i="19" s="1"/>
  <c r="T132" i="19"/>
  <c r="U132" i="19" s="1"/>
  <c r="T120" i="19"/>
  <c r="U120" i="19" s="1"/>
  <c r="T108" i="19"/>
  <c r="U108" i="19" s="1"/>
  <c r="T36" i="19"/>
  <c r="U36" i="19" s="1"/>
  <c r="T24" i="19"/>
  <c r="U24" i="19" s="1"/>
  <c r="T451" i="19"/>
  <c r="U451" i="19" s="1"/>
  <c r="T330" i="19"/>
  <c r="U330" i="19" s="1"/>
  <c r="T30" i="19"/>
  <c r="U30" i="19" s="1"/>
  <c r="T467" i="19"/>
  <c r="U467" i="19" s="1"/>
  <c r="T455" i="19"/>
  <c r="U455" i="19" s="1"/>
  <c r="T443" i="19"/>
  <c r="U443" i="19" s="1"/>
  <c r="T431" i="19"/>
  <c r="U431" i="19" s="1"/>
  <c r="T419" i="19"/>
  <c r="U419" i="19" s="1"/>
  <c r="T407" i="19"/>
  <c r="U407" i="19" s="1"/>
  <c r="T395" i="19"/>
  <c r="U395" i="19" s="1"/>
  <c r="T383" i="19"/>
  <c r="U383" i="19" s="1"/>
  <c r="T371" i="19"/>
  <c r="U371" i="19" s="1"/>
  <c r="T359" i="19"/>
  <c r="U359" i="19" s="1"/>
  <c r="T347" i="19"/>
  <c r="U347" i="19" s="1"/>
  <c r="T335" i="19"/>
  <c r="U335" i="19" s="1"/>
  <c r="T323" i="19"/>
  <c r="U323" i="19" s="1"/>
  <c r="T311" i="19"/>
  <c r="U311" i="19" s="1"/>
  <c r="T299" i="19"/>
  <c r="U299" i="19" s="1"/>
  <c r="T275" i="19"/>
  <c r="U275" i="19" s="1"/>
  <c r="T263" i="19"/>
  <c r="U263" i="19" s="1"/>
  <c r="T251" i="19"/>
  <c r="U251" i="19" s="1"/>
  <c r="T239" i="19"/>
  <c r="U239" i="19" s="1"/>
  <c r="T215" i="19"/>
  <c r="U215" i="19" s="1"/>
  <c r="T203" i="19"/>
  <c r="U203" i="19" s="1"/>
  <c r="T191" i="19"/>
  <c r="U191" i="19" s="1"/>
  <c r="T179" i="19"/>
  <c r="U179" i="19" s="1"/>
  <c r="T167" i="19"/>
  <c r="U167" i="19" s="1"/>
  <c r="T155" i="19"/>
  <c r="U155" i="19" s="1"/>
  <c r="T95" i="19"/>
  <c r="U95" i="19" s="1"/>
  <c r="T83" i="19"/>
  <c r="U83" i="19" s="1"/>
  <c r="T59" i="19"/>
  <c r="U59" i="19" s="1"/>
  <c r="T378" i="19"/>
  <c r="U378" i="19" s="1"/>
  <c r="T282" i="19"/>
  <c r="U282" i="19" s="1"/>
  <c r="T222" i="19"/>
  <c r="U222" i="19" s="1"/>
  <c r="T18" i="19"/>
  <c r="U18" i="19" s="1"/>
  <c r="T442" i="19"/>
  <c r="U442" i="19" s="1"/>
  <c r="T430" i="19"/>
  <c r="U430" i="19" s="1"/>
  <c r="T418" i="19"/>
  <c r="U418" i="19" s="1"/>
  <c r="T406" i="19"/>
  <c r="U406" i="19" s="1"/>
  <c r="T394" i="19"/>
  <c r="U394" i="19" s="1"/>
  <c r="T382" i="19"/>
  <c r="U382" i="19" s="1"/>
  <c r="T370" i="19"/>
  <c r="U370" i="19" s="1"/>
  <c r="T358" i="19"/>
  <c r="U358" i="19" s="1"/>
  <c r="T346" i="19"/>
  <c r="U346" i="19" s="1"/>
  <c r="T334" i="19"/>
  <c r="U334" i="19" s="1"/>
  <c r="T310" i="19"/>
  <c r="U310" i="19" s="1"/>
  <c r="T298" i="19"/>
  <c r="U298" i="19" s="1"/>
  <c r="T286" i="19"/>
  <c r="U286" i="19" s="1"/>
  <c r="T274" i="19"/>
  <c r="U274" i="19" s="1"/>
  <c r="T262" i="19"/>
  <c r="U262" i="19" s="1"/>
  <c r="T250" i="19"/>
  <c r="U250" i="19" s="1"/>
  <c r="T238" i="19"/>
  <c r="U238" i="19" s="1"/>
  <c r="T226" i="19"/>
  <c r="U226" i="19" s="1"/>
  <c r="T190" i="19"/>
  <c r="U190" i="19" s="1"/>
  <c r="T178" i="19"/>
  <c r="U178" i="19" s="1"/>
  <c r="T166" i="19"/>
  <c r="U166" i="19" s="1"/>
  <c r="T154" i="19"/>
  <c r="U154" i="19" s="1"/>
  <c r="T142" i="19"/>
  <c r="U142" i="19" s="1"/>
  <c r="T130" i="19"/>
  <c r="U130" i="19" s="1"/>
  <c r="T118" i="19"/>
  <c r="U118" i="19" s="1"/>
  <c r="T106" i="19"/>
  <c r="U106" i="19" s="1"/>
  <c r="T415" i="19"/>
  <c r="U415" i="19" s="1"/>
  <c r="T307" i="19"/>
  <c r="U307" i="19" s="1"/>
  <c r="T247" i="19"/>
  <c r="U247" i="19" s="1"/>
  <c r="T235" i="19"/>
  <c r="U235" i="19" s="1"/>
  <c r="T211" i="19"/>
  <c r="U211" i="19" s="1"/>
  <c r="T163" i="19"/>
  <c r="U163" i="19" s="1"/>
  <c r="T103" i="19"/>
  <c r="U103" i="19" s="1"/>
  <c r="T465" i="19"/>
  <c r="U465" i="19" s="1"/>
  <c r="T453" i="19"/>
  <c r="U453" i="19" s="1"/>
  <c r="T405" i="19"/>
  <c r="U405" i="19" s="1"/>
  <c r="T393" i="19"/>
  <c r="U393" i="19" s="1"/>
  <c r="T381" i="19"/>
  <c r="U381" i="19" s="1"/>
  <c r="T369" i="19"/>
  <c r="U369" i="19" s="1"/>
  <c r="T357" i="19"/>
  <c r="U357" i="19" s="1"/>
  <c r="T345" i="19"/>
  <c r="U345" i="19" s="1"/>
  <c r="T333" i="19"/>
  <c r="U333" i="19" s="1"/>
  <c r="T321" i="19"/>
  <c r="U321" i="19" s="1"/>
  <c r="T297" i="19"/>
  <c r="U297" i="19" s="1"/>
  <c r="T285" i="19"/>
  <c r="U285" i="19" s="1"/>
  <c r="T273" i="19"/>
  <c r="U273" i="19" s="1"/>
  <c r="T261" i="19"/>
  <c r="U261" i="19" s="1"/>
  <c r="T249" i="19"/>
  <c r="U249" i="19" s="1"/>
  <c r="T237" i="19"/>
  <c r="U237" i="19" s="1"/>
  <c r="T225" i="19"/>
  <c r="U225" i="19" s="1"/>
  <c r="T213" i="19"/>
  <c r="U213" i="19" s="1"/>
  <c r="T189" i="19"/>
  <c r="U189" i="19" s="1"/>
  <c r="T177" i="19"/>
  <c r="U177" i="19" s="1"/>
  <c r="T165" i="19"/>
  <c r="U165" i="19" s="1"/>
  <c r="T153" i="19"/>
  <c r="U153" i="19" s="1"/>
  <c r="T141" i="19"/>
  <c r="U141" i="19" s="1"/>
  <c r="T117" i="19"/>
  <c r="U117" i="19" s="1"/>
  <c r="T105" i="19"/>
  <c r="U105" i="19" s="1"/>
  <c r="T93" i="19"/>
  <c r="U93" i="19" s="1"/>
  <c r="T81" i="19"/>
  <c r="U81" i="19" s="1"/>
  <c r="T57" i="19"/>
  <c r="U57" i="19" s="1"/>
  <c r="T427" i="19"/>
  <c r="U427" i="19" s="1"/>
  <c r="T343" i="19"/>
  <c r="U343" i="19" s="1"/>
  <c r="T295" i="19"/>
  <c r="U295" i="19" s="1"/>
  <c r="T223" i="19"/>
  <c r="U223" i="19" s="1"/>
  <c r="T139" i="19"/>
  <c r="U139" i="19" s="1"/>
  <c r="T464" i="19"/>
  <c r="U464" i="19" s="1"/>
  <c r="T452" i="19"/>
  <c r="U452" i="19" s="1"/>
  <c r="T440" i="19"/>
  <c r="U440" i="19" s="1"/>
  <c r="T392" i="19"/>
  <c r="U392" i="19" s="1"/>
  <c r="T380" i="19"/>
  <c r="U380" i="19" s="1"/>
  <c r="T368" i="19"/>
  <c r="U368" i="19" s="1"/>
  <c r="T356" i="19"/>
  <c r="U356" i="19" s="1"/>
  <c r="T344" i="19"/>
  <c r="U344" i="19" s="1"/>
  <c r="T332" i="19"/>
  <c r="U332" i="19" s="1"/>
  <c r="T320" i="19"/>
  <c r="U320" i="19" s="1"/>
  <c r="T308" i="19"/>
  <c r="U308" i="19" s="1"/>
  <c r="T296" i="19"/>
  <c r="U296" i="19" s="1"/>
  <c r="T284" i="19"/>
  <c r="U284" i="19" s="1"/>
  <c r="T272" i="19"/>
  <c r="U272" i="19" s="1"/>
  <c r="T260" i="19"/>
  <c r="U260" i="19" s="1"/>
  <c r="T248" i="19"/>
  <c r="U248" i="19" s="1"/>
  <c r="T236" i="19"/>
  <c r="U236" i="19" s="1"/>
  <c r="T224" i="19"/>
  <c r="U224" i="19" s="1"/>
  <c r="T212" i="19"/>
  <c r="U212" i="19" s="1"/>
  <c r="T176" i="19"/>
  <c r="U176" i="19" s="1"/>
  <c r="T164" i="19"/>
  <c r="U164" i="19" s="1"/>
  <c r="T152" i="19"/>
  <c r="U152" i="19" s="1"/>
  <c r="T140" i="19"/>
  <c r="U140" i="19" s="1"/>
  <c r="T116" i="19"/>
  <c r="U116" i="19" s="1"/>
  <c r="T104" i="19"/>
  <c r="U104" i="19" s="1"/>
  <c r="T92" i="19"/>
  <c r="U92" i="19" s="1"/>
  <c r="T80" i="19"/>
  <c r="U80" i="19" s="1"/>
  <c r="T68" i="19"/>
  <c r="U68" i="19" s="1"/>
  <c r="T44" i="19"/>
  <c r="U44" i="19" s="1"/>
  <c r="T32" i="19"/>
  <c r="U32" i="19" s="1"/>
  <c r="T20" i="19"/>
  <c r="U20" i="19" s="1"/>
  <c r="T8" i="19"/>
  <c r="U8" i="19" s="1"/>
  <c r="T354" i="19"/>
  <c r="U354" i="19" s="1"/>
  <c r="T342" i="19"/>
  <c r="U342" i="19" s="1"/>
  <c r="T283" i="19"/>
  <c r="U283" i="19" s="1"/>
  <c r="T202" i="19"/>
  <c r="U202" i="19" s="1"/>
  <c r="T188" i="19"/>
  <c r="U188" i="19" s="1"/>
  <c r="T175" i="19"/>
  <c r="U175" i="19" s="1"/>
  <c r="T145" i="19"/>
  <c r="U145" i="19" s="1"/>
  <c r="T129" i="19"/>
  <c r="U129" i="19" s="1"/>
  <c r="T115" i="19"/>
  <c r="U115" i="19" s="1"/>
  <c r="T86" i="19"/>
  <c r="U86" i="19" s="1"/>
  <c r="T71" i="19"/>
  <c r="U71" i="19" s="1"/>
  <c r="T56" i="19"/>
  <c r="U56" i="19" s="1"/>
  <c r="T40" i="19"/>
  <c r="U40" i="19" s="1"/>
  <c r="T25" i="19"/>
  <c r="U25" i="19" s="1"/>
  <c r="T7" i="19"/>
  <c r="U7" i="19" s="1"/>
  <c r="T329" i="19"/>
  <c r="U329" i="19" s="1"/>
  <c r="T317" i="19"/>
  <c r="U317" i="19" s="1"/>
  <c r="T305" i="19"/>
  <c r="U305" i="19" s="1"/>
  <c r="T293" i="19"/>
  <c r="U293" i="19" s="1"/>
  <c r="T458" i="19"/>
  <c r="U458" i="19" s="1"/>
  <c r="T417" i="19"/>
  <c r="U417" i="19" s="1"/>
  <c r="T349" i="19"/>
  <c r="U349" i="19" s="1"/>
  <c r="T322" i="19"/>
  <c r="U322" i="19" s="1"/>
  <c r="T309" i="19"/>
  <c r="U309" i="19" s="1"/>
  <c r="T254" i="19"/>
  <c r="U254" i="19" s="1"/>
  <c r="T241" i="19"/>
  <c r="U241" i="19" s="1"/>
  <c r="T227" i="19"/>
  <c r="U227" i="19" s="1"/>
  <c r="T214" i="19"/>
  <c r="U214" i="19" s="1"/>
  <c r="T201" i="19"/>
  <c r="U201" i="19" s="1"/>
  <c r="T187" i="19"/>
  <c r="U187" i="19" s="1"/>
  <c r="T159" i="19"/>
  <c r="U159" i="19" s="1"/>
  <c r="T143" i="19"/>
  <c r="U143" i="19" s="1"/>
  <c r="T128" i="19"/>
  <c r="U128" i="19" s="1"/>
  <c r="T114" i="19"/>
  <c r="U114" i="19" s="1"/>
  <c r="T100" i="19"/>
  <c r="U100" i="19" s="1"/>
  <c r="T85" i="19"/>
  <c r="U85" i="19" s="1"/>
  <c r="T69" i="19"/>
  <c r="U69" i="19" s="1"/>
  <c r="T55" i="19"/>
  <c r="U55" i="19" s="1"/>
  <c r="T39" i="19"/>
  <c r="U39" i="19" s="1"/>
  <c r="T6" i="19"/>
  <c r="U6" i="19" s="1"/>
  <c r="T280" i="19"/>
  <c r="U280" i="19" s="1"/>
  <c r="T268" i="19"/>
  <c r="U268" i="19" s="1"/>
  <c r="T199" i="19"/>
  <c r="U199" i="19" s="1"/>
  <c r="T127" i="19"/>
  <c r="U127" i="19" s="1"/>
  <c r="T255" i="19"/>
  <c r="U255" i="19" s="1"/>
  <c r="T243" i="19"/>
  <c r="U243" i="19" s="1"/>
  <c r="T231" i="19"/>
  <c r="U231" i="19" s="1"/>
  <c r="T67" i="19"/>
  <c r="U67" i="19" s="1"/>
  <c r="T19" i="19"/>
  <c r="U19" i="19" s="1"/>
  <c r="T218" i="19"/>
  <c r="U218" i="19" s="1"/>
  <c r="T206" i="19"/>
  <c r="U206" i="19" s="1"/>
  <c r="T170" i="19"/>
  <c r="U170" i="19" s="1"/>
  <c r="T158" i="19"/>
  <c r="U158" i="19" s="1"/>
  <c r="T146" i="19"/>
  <c r="U146" i="19" s="1"/>
  <c r="T134" i="19"/>
  <c r="U134" i="19" s="1"/>
  <c r="T193" i="19"/>
  <c r="U193" i="19" s="1"/>
  <c r="T181" i="19"/>
  <c r="U181" i="19" s="1"/>
  <c r="T121" i="19"/>
  <c r="U121" i="19" s="1"/>
  <c r="T109" i="19"/>
  <c r="U109" i="19" s="1"/>
  <c r="T97" i="19"/>
  <c r="U97" i="19" s="1"/>
  <c r="T79" i="19"/>
  <c r="U79" i="19" s="1"/>
  <c r="T168" i="19"/>
  <c r="U168" i="19" s="1"/>
  <c r="T156" i="19"/>
  <c r="U156" i="19" s="1"/>
  <c r="T144" i="19"/>
  <c r="U144" i="19" s="1"/>
  <c r="T84" i="19"/>
  <c r="U84" i="19" s="1"/>
  <c r="T72" i="19"/>
  <c r="U72" i="19" s="1"/>
  <c r="T60" i="19"/>
  <c r="U60" i="19" s="1"/>
  <c r="T48" i="19"/>
  <c r="U48" i="19" s="1"/>
  <c r="T31" i="19"/>
  <c r="U31" i="19" s="1"/>
  <c r="T131" i="19"/>
  <c r="U131" i="19" s="1"/>
  <c r="T119" i="19"/>
  <c r="U119" i="19" s="1"/>
  <c r="T107" i="19"/>
  <c r="U107" i="19" s="1"/>
  <c r="T47" i="19"/>
  <c r="U47" i="19" s="1"/>
  <c r="T35" i="19"/>
  <c r="U35" i="19" s="1"/>
  <c r="T23" i="19"/>
  <c r="U23" i="19" s="1"/>
  <c r="T11" i="19"/>
  <c r="U11" i="19" s="1"/>
  <c r="T151" i="19"/>
  <c r="U151" i="19" s="1"/>
  <c r="T91" i="19"/>
  <c r="U91" i="19" s="1"/>
  <c r="T466" i="19"/>
  <c r="U466" i="19" s="1"/>
  <c r="T454" i="19"/>
  <c r="U454" i="19" s="1"/>
  <c r="T94" i="19"/>
  <c r="U94" i="19" s="1"/>
  <c r="T82" i="19"/>
  <c r="U82" i="19" s="1"/>
  <c r="T70" i="19"/>
  <c r="U70" i="19" s="1"/>
  <c r="T58" i="19"/>
  <c r="U58" i="19" s="1"/>
  <c r="T34" i="19"/>
  <c r="U34" i="19" s="1"/>
  <c r="T22" i="19"/>
  <c r="U22" i="19" s="1"/>
  <c r="T10" i="19"/>
  <c r="U10" i="19" s="1"/>
  <c r="U441" i="19"/>
  <c r="T429" i="19"/>
  <c r="U429" i="19" s="1"/>
  <c r="T45" i="19"/>
  <c r="U45" i="19" s="1"/>
  <c r="T33" i="19"/>
  <c r="U33" i="19" s="1"/>
  <c r="T21" i="19"/>
  <c r="U21" i="19" s="1"/>
  <c r="T9" i="19"/>
  <c r="U9" i="19" s="1"/>
  <c r="T416" i="19"/>
  <c r="U416" i="19" s="1"/>
  <c r="T404" i="19"/>
  <c r="U404" i="19" s="1"/>
  <c r="T12" i="19"/>
  <c r="U12" i="19" s="1"/>
  <c r="T391" i="19"/>
  <c r="U391" i="19" s="1"/>
  <c r="T379" i="19"/>
  <c r="U379" i="19" s="1"/>
  <c r="T367" i="19"/>
  <c r="U367" i="19" s="1"/>
  <c r="T133" i="19"/>
  <c r="U133" i="19" s="1"/>
  <c r="T228" i="19"/>
  <c r="U228" i="19" s="1"/>
  <c r="T96" i="19"/>
  <c r="U96" i="19" s="1"/>
  <c r="T46" i="19"/>
  <c r="U46" i="19" s="1"/>
  <c r="T428" i="19"/>
  <c r="U428" i="19" s="1"/>
  <c r="T200" i="19"/>
  <c r="U200" i="19" s="1"/>
  <c r="T403" i="19"/>
  <c r="U403" i="19" s="1"/>
  <c r="T355" i="19"/>
  <c r="U355" i="19" s="1"/>
  <c r="T331" i="19"/>
  <c r="U331" i="19" s="1"/>
  <c r="T259" i="19"/>
  <c r="U259" i="19" s="1"/>
  <c r="T287" i="19"/>
  <c r="U287" i="19" s="1"/>
  <c r="T450" i="19"/>
  <c r="U450" i="19" s="1"/>
  <c r="T174" i="19"/>
  <c r="U174" i="1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<sst xmlns="http://schemas.openxmlformats.org/spreadsheetml/2006/main" count="4595" uniqueCount="796">
  <si>
    <t>ing_id</t>
  </si>
  <si>
    <t>ing_name</t>
  </si>
  <si>
    <t>ing_weight</t>
  </si>
  <si>
    <t>ing_meas</t>
  </si>
  <si>
    <t>ing_price</t>
  </si>
  <si>
    <t>ING001</t>
  </si>
  <si>
    <t>Espresso beans</t>
  </si>
  <si>
    <t>grams</t>
  </si>
  <si>
    <t>ING002</t>
  </si>
  <si>
    <t>Whole Milk</t>
  </si>
  <si>
    <t>ml</t>
  </si>
  <si>
    <t>ING003</t>
  </si>
  <si>
    <t>Cheddar</t>
  </si>
  <si>
    <t>ING004</t>
  </si>
  <si>
    <t>Mozzarella</t>
  </si>
  <si>
    <t>ING005</t>
  </si>
  <si>
    <t>Whipped cream</t>
  </si>
  <si>
    <t>ING006</t>
  </si>
  <si>
    <t>Vanilla syrup</t>
  </si>
  <si>
    <t>ING007</t>
  </si>
  <si>
    <t>Barista chocolate syrup</t>
  </si>
  <si>
    <t>ING008</t>
  </si>
  <si>
    <t>Barista white chocolate syrup</t>
  </si>
  <si>
    <t>ING009</t>
  </si>
  <si>
    <t>Barista caramel sauce</t>
  </si>
  <si>
    <t>ING010</t>
  </si>
  <si>
    <t>Sugar</t>
  </si>
  <si>
    <t>ING011</t>
  </si>
  <si>
    <t>Panini Bread</t>
  </si>
  <si>
    <t>units</t>
  </si>
  <si>
    <t>ING012</t>
  </si>
  <si>
    <t>Cocoa powder</t>
  </si>
  <si>
    <t>ING013</t>
  </si>
  <si>
    <t>Chocolate</t>
  </si>
  <si>
    <t>ING014</t>
  </si>
  <si>
    <t>Lemons</t>
  </si>
  <si>
    <t>ING015</t>
  </si>
  <si>
    <t>Ham</t>
  </si>
  <si>
    <t>ING016</t>
  </si>
  <si>
    <t>Salami</t>
  </si>
  <si>
    <t>ING017</t>
  </si>
  <si>
    <t>Black Tea</t>
  </si>
  <si>
    <t>ING018</t>
  </si>
  <si>
    <t>Vanilla extract</t>
  </si>
  <si>
    <t>row_id</t>
  </si>
  <si>
    <t>recipe_id</t>
  </si>
  <si>
    <t>quantity</t>
  </si>
  <si>
    <t>HDR-CAP-MD</t>
  </si>
  <si>
    <t>HDR-CAP-LG</t>
  </si>
  <si>
    <t>HDR-LAT-MD</t>
  </si>
  <si>
    <t>HDR-LAT-LG</t>
  </si>
  <si>
    <t>HDR-FLT</t>
  </si>
  <si>
    <t>HDR-CRM-MD</t>
  </si>
  <si>
    <t>HDR-CRM-LG</t>
  </si>
  <si>
    <t>HDR-ESP</t>
  </si>
  <si>
    <t>HDR-MOC-MD</t>
  </si>
  <si>
    <t>HDR-MOC-LG</t>
  </si>
  <si>
    <t>HDR-WMO-MD</t>
  </si>
  <si>
    <t>HDR-WMO-LG</t>
  </si>
  <si>
    <t>HDR-HCH-MD</t>
  </si>
  <si>
    <t>HDR-HCH-LG</t>
  </si>
  <si>
    <t>CDR-CCF-MD</t>
  </si>
  <si>
    <t>CDR-CCF-LG</t>
  </si>
  <si>
    <t>CDR-CMO-MD</t>
  </si>
  <si>
    <t>CDR-CMO-LG</t>
  </si>
  <si>
    <t>CDR-ICT-MD</t>
  </si>
  <si>
    <t>CDR-ICT-LG</t>
  </si>
  <si>
    <t>CDR-LMN-MD</t>
  </si>
  <si>
    <t>CDR-LMN-LG</t>
  </si>
  <si>
    <t>SNK-SHC</t>
  </si>
  <si>
    <t>SNK-SSM</t>
  </si>
  <si>
    <t>inv_id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</si>
  <si>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</si>
  <si>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</si>
  <si>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</si>
  <si>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</si>
  <si>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</si>
  <si>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</si>
  <si>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</si>
  <si>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</si>
  <si>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</si>
  <si>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</si>
  <si>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</si>
  <si>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</si>
  <si>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</si>
  <si>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</si>
  <si>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</si>
  <si>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</si>
  <si>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</si>
  <si>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</si>
  <si>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item_id</t>
  </si>
  <si>
    <t>sku</t>
  </si>
  <si>
    <t>item_name</t>
  </si>
  <si>
    <t>item_cat</t>
  </si>
  <si>
    <t>item_size</t>
  </si>
  <si>
    <t>item_price</t>
  </si>
  <si>
    <t>It001</t>
  </si>
  <si>
    <t>Cappuccino</t>
  </si>
  <si>
    <t>Hot Drinks</t>
  </si>
  <si>
    <t>Medium</t>
  </si>
  <si>
    <t>It002</t>
  </si>
  <si>
    <t>Large</t>
  </si>
  <si>
    <t>It003</t>
  </si>
  <si>
    <t>Latte</t>
  </si>
  <si>
    <t>It004</t>
  </si>
  <si>
    <t>It005</t>
  </si>
  <si>
    <t>Flat White</t>
  </si>
  <si>
    <t>N/A</t>
  </si>
  <si>
    <t>It006</t>
  </si>
  <si>
    <t>Caramel Macchiato</t>
  </si>
  <si>
    <t>It007</t>
  </si>
  <si>
    <t>It008</t>
  </si>
  <si>
    <t>Espresso</t>
  </si>
  <si>
    <t>It009</t>
  </si>
  <si>
    <t>Mocha</t>
  </si>
  <si>
    <t>It010</t>
  </si>
  <si>
    <t>It011</t>
  </si>
  <si>
    <t>White Mocha</t>
  </si>
  <si>
    <t>It012</t>
  </si>
  <si>
    <t>It013</t>
  </si>
  <si>
    <t>Hot Chocolate</t>
  </si>
  <si>
    <t>It014</t>
  </si>
  <si>
    <t>It015</t>
  </si>
  <si>
    <t>Cold Coffee</t>
  </si>
  <si>
    <t>Cold Drinks</t>
  </si>
  <si>
    <t>It016</t>
  </si>
  <si>
    <t>It017</t>
  </si>
  <si>
    <t>Cold Mocha</t>
  </si>
  <si>
    <t>It018</t>
  </si>
  <si>
    <t>It019</t>
  </si>
  <si>
    <t>Iced Tea</t>
  </si>
  <si>
    <t>It020</t>
  </si>
  <si>
    <t>It021</t>
  </si>
  <si>
    <t>Lemonade</t>
  </si>
  <si>
    <t>It022</t>
  </si>
  <si>
    <t>It023</t>
  </si>
  <si>
    <t>Sandwich Ham&amp;Cheese</t>
  </si>
  <si>
    <t>Snacks</t>
  </si>
  <si>
    <t>It024</t>
  </si>
  <si>
    <t>Sandwich Salami&amp;Mozzarella</t>
  </si>
  <si>
    <t>order_id</t>
  </si>
  <si>
    <t>created_at</t>
  </si>
  <si>
    <t>cust_name</t>
  </si>
  <si>
    <t>in_or_out</t>
  </si>
  <si>
    <t>ORD001</t>
  </si>
  <si>
    <t>Alex</t>
  </si>
  <si>
    <t>out</t>
  </si>
  <si>
    <t>ORD002</t>
  </si>
  <si>
    <t>Jordan</t>
  </si>
  <si>
    <t>in</t>
  </si>
  <si>
    <t>ORD003</t>
  </si>
  <si>
    <t>Taylor</t>
  </si>
  <si>
    <t>ORD004</t>
  </si>
  <si>
    <t>Casey</t>
  </si>
  <si>
    <t>ORD005</t>
  </si>
  <si>
    <t>Jamie</t>
  </si>
  <si>
    <t>ORD006</t>
  </si>
  <si>
    <t>Morgan</t>
  </si>
  <si>
    <t>ORD007</t>
  </si>
  <si>
    <t>Riley</t>
  </si>
  <si>
    <t>ORD008</t>
  </si>
  <si>
    <t>Cameron</t>
  </si>
  <si>
    <t>ORD009</t>
  </si>
  <si>
    <t>Quinn</t>
  </si>
  <si>
    <t>ORD010</t>
  </si>
  <si>
    <t>Peyton</t>
  </si>
  <si>
    <t>ORD011</t>
  </si>
  <si>
    <t>Brooke</t>
  </si>
  <si>
    <t>ORD012</t>
  </si>
  <si>
    <t>Blake</t>
  </si>
  <si>
    <t>ORD013</t>
  </si>
  <si>
    <t>Charlie</t>
  </si>
  <si>
    <t>ORD014</t>
  </si>
  <si>
    <t>Dakota</t>
  </si>
  <si>
    <t>ORD015</t>
  </si>
  <si>
    <t>Emerson</t>
  </si>
  <si>
    <t>ORD016</t>
  </si>
  <si>
    <t>Finley</t>
  </si>
  <si>
    <t>ORD017</t>
  </si>
  <si>
    <t>Harper</t>
  </si>
  <si>
    <t>ORD018</t>
  </si>
  <si>
    <t>ORD019</t>
  </si>
  <si>
    <t>Kendall</t>
  </si>
  <si>
    <t>ORD020</t>
  </si>
  <si>
    <t>Logan</t>
  </si>
  <si>
    <t>ORD021</t>
  </si>
  <si>
    <t>ORD022</t>
  </si>
  <si>
    <t>Parker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</si>
  <si>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</si>
  <si>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</si>
  <si>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</si>
  <si>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</si>
  <si>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</si>
  <si>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</si>
  <si>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</si>
  <si>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</si>
  <si>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</si>
  <si>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</si>
  <si>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</si>
  <si>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</si>
  <si>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</si>
  <si>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</si>
  <si>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</si>
  <si>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</si>
  <si>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</si>
  <si>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</si>
  <si>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</si>
  <si>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</si>
  <si>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</si>
  <si>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</si>
  <si>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</si>
  <si>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</si>
  <si>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</si>
  <si>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</si>
  <si>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</si>
  <si>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</si>
  <si>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</si>
  <si>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</si>
  <si>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</si>
  <si>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Avery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</si>
  <si>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</si>
  <si>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</si>
  <si>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</si>
  <si>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</si>
  <si>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</si>
  <si>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</si>
  <si>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</si>
  <si>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</si>
  <si>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</si>
  <si>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</si>
  <si>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</si>
  <si>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</si>
  <si>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</si>
  <si>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</si>
  <si>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</si>
  <si>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</si>
  <si>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</si>
  <si>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</si>
  <si>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</si>
  <si>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</si>
  <si>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</si>
  <si>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</si>
  <si>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</si>
  <si>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</si>
  <si>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</si>
  <si>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</si>
  <si>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</si>
  <si>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</si>
  <si>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</si>
  <si>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Sam</t>
  </si>
  <si>
    <t>ORD090</t>
  </si>
  <si>
    <t>Anna</t>
  </si>
  <si>
    <t>ORD091</t>
  </si>
  <si>
    <t>Chris</t>
  </si>
  <si>
    <t>It028</t>
  </si>
  <si>
    <t>ORD092</t>
  </si>
  <si>
    <t>Pat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</si>
  <si>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</si>
  <si>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</si>
  <si>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</si>
  <si>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</si>
  <si>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</si>
  <si>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</si>
  <si>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</si>
  <si>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</si>
  <si>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It027</t>
  </si>
  <si>
    <t>ORD101</t>
  </si>
  <si>
    <t>ORD102</t>
  </si>
  <si>
    <t>ORD103</t>
  </si>
  <si>
    <t>ORD104</t>
  </si>
  <si>
    <t>ORD105</t>
  </si>
  <si>
    <t>ORD106</t>
  </si>
  <si>
    <t>It026</t>
  </si>
  <si>
    <t>ORD107</t>
  </si>
  <si>
    <t>ORD108</t>
  </si>
  <si>
    <t>ORD109</t>
  </si>
  <si>
    <t>ORD110</t>
  </si>
  <si>
    <t>ORD111</t>
  </si>
  <si>
    <t>It025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</si>
  <si>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</si>
  <si>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</si>
  <si>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</si>
  <si>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</si>
  <si>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</si>
  <si>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</si>
  <si>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</si>
  <si>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</si>
  <si>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</si>
  <si>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</si>
  <si>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</si>
  <si>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</si>
  <si>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</si>
  <si>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</si>
  <si>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</si>
  <si>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</si>
  <si>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</si>
  <si>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</si>
  <si>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</si>
  <si>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</si>
  <si>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</si>
  <si>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</si>
  <si>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</si>
  <si>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</si>
  <si>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</si>
  <si>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</si>
  <si>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</si>
  <si>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</si>
  <si>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</si>
  <si>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</si>
  <si>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</si>
  <si>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</si>
  <si>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</si>
  <si>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</si>
  <si>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</si>
  <si>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</si>
  <si>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</si>
  <si>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</si>
  <si>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</si>
  <si>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</si>
  <si>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</si>
  <si>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</si>
  <si>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</si>
  <si>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</si>
  <si>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</si>
  <si>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</si>
  <si>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</si>
  <si>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</si>
  <si>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Elvis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</si>
  <si>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</si>
  <si>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</si>
  <si>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</si>
  <si>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</si>
  <si>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</si>
  <si>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</si>
  <si>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</si>
  <si>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</si>
  <si>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</si>
  <si>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</si>
  <si>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</si>
  <si>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</si>
  <si>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</si>
  <si>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</si>
  <si>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</si>
  <si>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</si>
  <si>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</si>
  <si>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</si>
  <si>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</si>
  <si>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</si>
  <si>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</si>
  <si>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</si>
  <si>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</si>
  <si>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</si>
  <si>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</si>
  <si>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</si>
  <si>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</si>
  <si>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</si>
  <si>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</si>
  <si>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</si>
  <si>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</si>
  <si>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</si>
  <si>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</si>
  <si>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</si>
  <si>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</si>
  <si>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</si>
  <si>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</si>
  <si>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</si>
  <si>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</si>
  <si>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</si>
  <si>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</si>
  <si>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</si>
  <si>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</si>
  <si>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</si>
  <si>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</si>
  <si>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</si>
  <si>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</si>
  <si>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</si>
  <si>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</si>
  <si>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</si>
  <si>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</si>
  <si>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</si>
  <si>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</si>
  <si>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</si>
  <si>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</si>
  <si>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</si>
  <si>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</si>
  <si>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</si>
  <si>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</si>
  <si>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</si>
  <si>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</si>
  <si>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</si>
  <si>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</si>
  <si>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</si>
  <si>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</si>
  <si>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Bob</t>
  </si>
  <si>
    <t>ORD225</t>
  </si>
  <si>
    <t>Carol</t>
  </si>
  <si>
    <t>ORD226</t>
  </si>
  <si>
    <t>Dave</t>
  </si>
  <si>
    <t>ORD227</t>
  </si>
  <si>
    <t>Eve</t>
  </si>
  <si>
    <t>ORD228</t>
  </si>
  <si>
    <t>Frank</t>
  </si>
  <si>
    <t>ORD229</t>
  </si>
  <si>
    <t>Grace</t>
  </si>
  <si>
    <t>ORD230</t>
  </si>
  <si>
    <t>Helen</t>
  </si>
  <si>
    <t>ORD231</t>
  </si>
  <si>
    <t>Ian</t>
  </si>
  <si>
    <t>ORD232</t>
  </si>
  <si>
    <t>Jenny</t>
  </si>
  <si>
    <t>ORD233</t>
  </si>
  <si>
    <t>Kyle</t>
  </si>
  <si>
    <t>ORD234</t>
  </si>
  <si>
    <t>Laura</t>
  </si>
  <si>
    <t>ORD235</t>
  </si>
  <si>
    <t>Mike</t>
  </si>
  <si>
    <t>ORD236</t>
  </si>
  <si>
    <t>Nina</t>
  </si>
  <si>
    <t>ORD237</t>
  </si>
  <si>
    <t>Oscar</t>
  </si>
  <si>
    <t>ORD238</t>
  </si>
  <si>
    <t>Paula</t>
  </si>
  <si>
    <t>ORD239</t>
  </si>
  <si>
    <t>ORD240</t>
  </si>
  <si>
    <t>Rachel</t>
  </si>
  <si>
    <t>ORD241</t>
  </si>
  <si>
    <t>Steve</t>
  </si>
  <si>
    <t>ORD242</t>
  </si>
  <si>
    <t>Tina</t>
  </si>
  <si>
    <t>ORD243</t>
  </si>
  <si>
    <t>Umar</t>
  </si>
  <si>
    <t>ORD244</t>
  </si>
  <si>
    <t>Victor</t>
  </si>
  <si>
    <t>ORD245</t>
  </si>
  <si>
    <t>Wendy</t>
  </si>
  <si>
    <t>ORD246</t>
  </si>
  <si>
    <t>Alice</t>
  </si>
  <si>
    <t>ORD247</t>
  </si>
  <si>
    <t>ORD248</t>
  </si>
  <si>
    <t>ORD249</t>
  </si>
  <si>
    <t>Dana</t>
  </si>
  <si>
    <t>ORD250</t>
  </si>
  <si>
    <t>Evan</t>
  </si>
  <si>
    <t>ORD251</t>
  </si>
  <si>
    <t>Fiona</t>
  </si>
  <si>
    <t>ORD252</t>
  </si>
  <si>
    <t>George</t>
  </si>
  <si>
    <t>ORD253</t>
  </si>
  <si>
    <t>Hannah</t>
  </si>
  <si>
    <t>ORD254</t>
  </si>
  <si>
    <t>ORD255</t>
  </si>
  <si>
    <t>Jake</t>
  </si>
  <si>
    <t>ORD256</t>
  </si>
  <si>
    <t>Karen</t>
  </si>
  <si>
    <t>ORD257</t>
  </si>
  <si>
    <t>Leo</t>
  </si>
  <si>
    <t>ORD258</t>
  </si>
  <si>
    <t>Mia</t>
  </si>
  <si>
    <t>ORD259</t>
  </si>
  <si>
    <t>Noah</t>
  </si>
  <si>
    <t>ORD260</t>
  </si>
  <si>
    <t>Olivia</t>
  </si>
  <si>
    <t>ORD261</t>
  </si>
  <si>
    <t>Paul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</si>
  <si>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</si>
  <si>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</si>
  <si>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</si>
  <si>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</si>
  <si>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</si>
  <si>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</si>
  <si>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</si>
  <si>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</si>
  <si>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Xavier</t>
  </si>
  <si>
    <t>ORD270</t>
  </si>
  <si>
    <t>Yara</t>
  </si>
  <si>
    <t>ORD271</t>
  </si>
  <si>
    <t>Zoe</t>
  </si>
  <si>
    <t>ORD272</t>
  </si>
  <si>
    <t>Amy</t>
  </si>
  <si>
    <t>ORD273</t>
  </si>
  <si>
    <t>Brad</t>
  </si>
  <si>
    <t>ORD274</t>
  </si>
  <si>
    <t>Cindy</t>
  </si>
  <si>
    <t>ORD275</t>
  </si>
  <si>
    <t>Derek</t>
  </si>
  <si>
    <t>ORD276</t>
  </si>
  <si>
    <t>Eliza</t>
  </si>
  <si>
    <t>ORD277</t>
  </si>
  <si>
    <t>ORD278</t>
  </si>
  <si>
    <t>Gigi</t>
  </si>
  <si>
    <t>ORD279</t>
  </si>
  <si>
    <t>Hugo</t>
  </si>
  <si>
    <t>ORD280</t>
  </si>
  <si>
    <t>Ivy</t>
  </si>
  <si>
    <t>ORD281</t>
  </si>
  <si>
    <t>ORD282</t>
  </si>
  <si>
    <t>Kara</t>
  </si>
  <si>
    <t>ORD283</t>
  </si>
  <si>
    <t>Liam</t>
  </si>
  <si>
    <t>ORD284</t>
  </si>
  <si>
    <t>ORD285</t>
  </si>
  <si>
    <t>Noel</t>
  </si>
  <si>
    <t>ORD286</t>
  </si>
  <si>
    <t>Ophelia</t>
  </si>
  <si>
    <t>ORD287</t>
  </si>
  <si>
    <t>Pablo</t>
  </si>
  <si>
    <t>ORD288</t>
  </si>
  <si>
    <t>ORD289</t>
  </si>
  <si>
    <t>Rita</t>
  </si>
  <si>
    <t>ORD290</t>
  </si>
  <si>
    <t>Sarah</t>
  </si>
  <si>
    <t>ORD291</t>
  </si>
  <si>
    <t>ORD292</t>
  </si>
  <si>
    <t>Lucy</t>
  </si>
  <si>
    <t>ORD293</t>
  </si>
  <si>
    <t>Tony</t>
  </si>
  <si>
    <t>ORD294</t>
  </si>
  <si>
    <t>ORD295</t>
  </si>
  <si>
    <t>Greg</t>
  </si>
  <si>
    <t>ORD296</t>
  </si>
  <si>
    <t>ORD297</t>
  </si>
  <si>
    <t>Ivan</t>
  </si>
  <si>
    <t>ORD298</t>
  </si>
  <si>
    <t>Julia</t>
  </si>
  <si>
    <t>ORD299</t>
  </si>
  <si>
    <t>Karl</t>
  </si>
  <si>
    <t>ORD300</t>
  </si>
  <si>
    <t>Leah</t>
  </si>
  <si>
    <t>ORD301</t>
  </si>
  <si>
    <t>Max</t>
  </si>
  <si>
    <t>ORD302</t>
  </si>
  <si>
    <t>Nora</t>
  </si>
  <si>
    <t>ORD303</t>
  </si>
  <si>
    <t>ORD304</t>
  </si>
  <si>
    <t>ORD305</t>
  </si>
  <si>
    <t>ORD306</t>
  </si>
  <si>
    <t>ORD307</t>
  </si>
  <si>
    <t>ORD308</t>
  </si>
  <si>
    <t>ORD309</t>
  </si>
  <si>
    <t>Uma</t>
  </si>
  <si>
    <t>ORD310</t>
  </si>
  <si>
    <t>ORD311</t>
  </si>
  <si>
    <t>ORD312</t>
  </si>
  <si>
    <t>Xander</t>
  </si>
  <si>
    <t>ORD313</t>
  </si>
  <si>
    <t>ORD314</t>
  </si>
  <si>
    <t>Zack</t>
  </si>
  <si>
    <t>ORD315</t>
  </si>
  <si>
    <t>ORD316</t>
  </si>
  <si>
    <t>Ben</t>
  </si>
  <si>
    <t>ORD317</t>
  </si>
  <si>
    <t>Carla</t>
  </si>
  <si>
    <t>ORD318</t>
  </si>
  <si>
    <t>David</t>
  </si>
  <si>
    <t>ORD319</t>
  </si>
  <si>
    <t>Elena</t>
  </si>
  <si>
    <t>ORD320</t>
  </si>
  <si>
    <t>ORD321</t>
  </si>
  <si>
    <t>Gina</t>
  </si>
  <si>
    <t>ORD322</t>
  </si>
  <si>
    <t>Harry</t>
  </si>
  <si>
    <t>ORD323</t>
  </si>
  <si>
    <t>Iris</t>
  </si>
  <si>
    <t>ORD324</t>
  </si>
  <si>
    <t>Jack</t>
  </si>
  <si>
    <t>ORD325</t>
  </si>
  <si>
    <t>Kiera</t>
  </si>
  <si>
    <t>ORD326</t>
  </si>
  <si>
    <t>Luke</t>
  </si>
  <si>
    <t>ORD327</t>
  </si>
  <si>
    <t>ORD328</t>
  </si>
  <si>
    <t>Nia</t>
  </si>
  <si>
    <t>ORD329</t>
  </si>
  <si>
    <t>ORD330</t>
  </si>
  <si>
    <t>Priya</t>
  </si>
  <si>
    <t>ORD331</t>
  </si>
  <si>
    <t>ORD332</t>
  </si>
  <si>
    <t>Ravi</t>
  </si>
  <si>
    <t>ORD333</t>
  </si>
  <si>
    <t>ORD334</t>
  </si>
  <si>
    <t>Tim</t>
  </si>
  <si>
    <t>ORD335</t>
  </si>
  <si>
    <t>ORD336</t>
  </si>
  <si>
    <t>Vicky</t>
  </si>
  <si>
    <t>ORD337</t>
  </si>
  <si>
    <t>ORD338</t>
  </si>
  <si>
    <t>Xian</t>
  </si>
  <si>
    <t>ORD339</t>
  </si>
  <si>
    <t>ORD340</t>
  </si>
  <si>
    <t>ORD341</t>
  </si>
  <si>
    <t>Amelia</t>
  </si>
  <si>
    <t>ORD342</t>
  </si>
  <si>
    <t>ORD343</t>
  </si>
  <si>
    <t>ORD344</t>
  </si>
  <si>
    <t>ORD345</t>
  </si>
  <si>
    <t>ORD346</t>
  </si>
  <si>
    <t>Faisal</t>
  </si>
  <si>
    <t>ORD347</t>
  </si>
  <si>
    <t>Georgia</t>
  </si>
  <si>
    <t>ORD348</t>
  </si>
  <si>
    <t>Haris</t>
  </si>
  <si>
    <t>ORD349</t>
  </si>
  <si>
    <t>Ida</t>
  </si>
  <si>
    <t>ORD350</t>
  </si>
  <si>
    <t>Jaya</t>
  </si>
  <si>
    <t>ORD351</t>
  </si>
  <si>
    <t>Kurt</t>
  </si>
  <si>
    <t>ORD352</t>
  </si>
  <si>
    <t>Lana</t>
  </si>
  <si>
    <t>ORD353</t>
  </si>
  <si>
    <t>Moe</t>
  </si>
  <si>
    <t>ORD354</t>
  </si>
  <si>
    <t>ORD355</t>
  </si>
  <si>
    <t>Jenna</t>
  </si>
  <si>
    <t>ORD356</t>
  </si>
  <si>
    <t>Keith</t>
  </si>
  <si>
    <t>ORD357</t>
  </si>
  <si>
    <t>Lila</t>
  </si>
  <si>
    <t>ORD358</t>
  </si>
  <si>
    <t>Mason</t>
  </si>
  <si>
    <t>ORD359</t>
  </si>
  <si>
    <t>ORD360</t>
  </si>
  <si>
    <t>Susie</t>
  </si>
  <si>
    <t>ORD361</t>
  </si>
  <si>
    <t>Tom</t>
  </si>
  <si>
    <t>ORD362</t>
  </si>
  <si>
    <t>Ulla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</si>
  <si>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</si>
  <si>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</si>
  <si>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</si>
  <si>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</si>
  <si>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</si>
  <si>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</si>
  <si>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</si>
  <si>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</si>
  <si>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Cara</t>
  </si>
  <si>
    <t>ORD371</t>
  </si>
  <si>
    <t>Dan</t>
  </si>
  <si>
    <t>ORD372</t>
  </si>
  <si>
    <t>ORD373</t>
  </si>
  <si>
    <t>Finn</t>
  </si>
  <si>
    <t>ORD374</t>
  </si>
  <si>
    <t>Gia</t>
  </si>
  <si>
    <t>ORD375</t>
  </si>
  <si>
    <t>Hal</t>
  </si>
  <si>
    <t>ORD376</t>
  </si>
  <si>
    <t>ORD377</t>
  </si>
  <si>
    <t>Jed</t>
  </si>
  <si>
    <t>ORD378</t>
  </si>
  <si>
    <t>Kip</t>
  </si>
  <si>
    <t>ORD379</t>
  </si>
  <si>
    <t>Lia</t>
  </si>
  <si>
    <t>ORD380</t>
  </si>
  <si>
    <t>ORD381</t>
  </si>
  <si>
    <t>ORD382</t>
  </si>
  <si>
    <t>Oli</t>
  </si>
  <si>
    <t>ORD383</t>
  </si>
  <si>
    <t>Pam</t>
  </si>
  <si>
    <t>ORD384</t>
  </si>
  <si>
    <t>Quin</t>
  </si>
  <si>
    <t>ORD385</t>
  </si>
  <si>
    <t>Rae</t>
  </si>
  <si>
    <t>ORD386</t>
  </si>
  <si>
    <t>ORD387</t>
  </si>
  <si>
    <t>Ty</t>
  </si>
  <si>
    <t>ORD388</t>
  </si>
  <si>
    <t>ORD389</t>
  </si>
  <si>
    <t>Val</t>
  </si>
  <si>
    <t>ORD390</t>
  </si>
  <si>
    <t>Wes</t>
  </si>
  <si>
    <t>ORD391</t>
  </si>
  <si>
    <t>Xi</t>
  </si>
  <si>
    <t>ORD392</t>
  </si>
  <si>
    <t>Yol</t>
  </si>
  <si>
    <t>ORD393</t>
  </si>
  <si>
    <t>Zed</t>
  </si>
  <si>
    <t>ORD394</t>
  </si>
  <si>
    <t>ORD395</t>
  </si>
  <si>
    <t>ORD396</t>
  </si>
  <si>
    <t>ORD397</t>
  </si>
  <si>
    <t>Charles</t>
  </si>
  <si>
    <t>ORD398</t>
  </si>
  <si>
    <t>ORD399</t>
  </si>
  <si>
    <t>ORD400</t>
  </si>
  <si>
    <t>ORD401</t>
  </si>
  <si>
    <t>ORD402</t>
  </si>
  <si>
    <t>Heidi</t>
  </si>
  <si>
    <t>ORD403</t>
  </si>
  <si>
    <t>ORD404</t>
  </si>
  <si>
    <t>ORD405</t>
  </si>
  <si>
    <t>ORD406</t>
  </si>
  <si>
    <t>ORD407</t>
  </si>
  <si>
    <t>ORD408</t>
  </si>
  <si>
    <t>ORD409</t>
  </si>
  <si>
    <t>ORD410</t>
  </si>
  <si>
    <t>Pete</t>
  </si>
  <si>
    <t>ORD411</t>
  </si>
  <si>
    <t>ORD412</t>
  </si>
  <si>
    <t>ORD413</t>
  </si>
  <si>
    <t>ORD414</t>
  </si>
  <si>
    <t>ORD415</t>
  </si>
  <si>
    <t>ORD416</t>
  </si>
  <si>
    <t>Vivian</t>
  </si>
  <si>
    <t>ORD417</t>
  </si>
  <si>
    <t>ORD418</t>
  </si>
  <si>
    <t>ORD419</t>
  </si>
  <si>
    <t>Yolanda</t>
  </si>
  <si>
    <t>ORD420</t>
  </si>
  <si>
    <t>ORD421</t>
  </si>
  <si>
    <t>ORD422</t>
  </si>
  <si>
    <t>ORD423</t>
  </si>
  <si>
    <t>Chloe</t>
  </si>
  <si>
    <t>ORD424</t>
  </si>
  <si>
    <t>ORD425</t>
  </si>
  <si>
    <t>Eva</t>
  </si>
  <si>
    <t>ORD426</t>
  </si>
  <si>
    <t>Fred</t>
  </si>
  <si>
    <t>ORD427</t>
  </si>
  <si>
    <t>ORD428</t>
  </si>
  <si>
    <t>Hugh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</si>
  <si>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</si>
  <si>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</si>
  <si>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</si>
  <si>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</si>
  <si>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</si>
  <si>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</si>
  <si>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</si>
  <si>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</si>
  <si>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</si>
  <si>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rota_id</t>
  </si>
  <si>
    <t>date</t>
  </si>
  <si>
    <t>shift_id</t>
  </si>
  <si>
    <t>staff_id</t>
  </si>
  <si>
    <t>RT001</t>
  </si>
  <si>
    <t>SH001</t>
  </si>
  <si>
    <t>ST001</t>
  </si>
  <si>
    <t>ST003</t>
  </si>
  <si>
    <t>SH002</t>
  </si>
  <si>
    <t>RT002</t>
  </si>
  <si>
    <t>SH003</t>
  </si>
  <si>
    <t>ST002</t>
  </si>
  <si>
    <t>ST004</t>
  </si>
  <si>
    <t>SH004</t>
  </si>
  <si>
    <t>RT003</t>
  </si>
  <si>
    <t>SH005</t>
  </si>
  <si>
    <t>SH006</t>
  </si>
  <si>
    <t>RT004</t>
  </si>
  <si>
    <t>SH007</t>
  </si>
  <si>
    <t>SH008</t>
  </si>
  <si>
    <t>RT005</t>
  </si>
  <si>
    <t>SH009</t>
  </si>
  <si>
    <t>SH010</t>
  </si>
  <si>
    <t>RT006</t>
  </si>
  <si>
    <t>SH011</t>
  </si>
  <si>
    <t>SH012</t>
  </si>
  <si>
    <t>day_of_week</t>
  </si>
  <si>
    <t>start_time</t>
  </si>
  <si>
    <t>end_time</t>
  </si>
  <si>
    <t>Monday</t>
  </si>
  <si>
    <t>Tuesday</t>
  </si>
  <si>
    <t>Wednesday</t>
  </si>
  <si>
    <t>Thursday</t>
  </si>
  <si>
    <t>Friday</t>
  </si>
  <si>
    <t>Saturday</t>
  </si>
  <si>
    <t>day_number</t>
  </si>
  <si>
    <t>first_name</t>
  </si>
  <si>
    <t>last_name</t>
  </si>
  <si>
    <t>position</t>
  </si>
  <si>
    <t>sal_per_hour</t>
  </si>
  <si>
    <t>Emma</t>
  </si>
  <si>
    <t>Johnson</t>
  </si>
  <si>
    <t>Barista</t>
  </si>
  <si>
    <t>Smith</t>
  </si>
  <si>
    <t>Williams</t>
  </si>
  <si>
    <t>Brown</t>
  </si>
  <si>
    <t>cost_per_unit</t>
  </si>
  <si>
    <t>ingredient_cost</t>
  </si>
  <si>
    <t>total_recipe_cost</t>
  </si>
  <si>
    <t>Unknown</t>
  </si>
  <si>
    <t>unit_cost</t>
  </si>
  <si>
    <t>revenue</t>
  </si>
  <si>
    <t>total_cost</t>
  </si>
  <si>
    <t>margin_pct</t>
  </si>
  <si>
    <t>dup_count</t>
  </si>
  <si>
    <t>item_master_match</t>
  </si>
  <si>
    <t>item_valid_flag</t>
  </si>
  <si>
    <t>recipe_ing_key</t>
  </si>
  <si>
    <t>contribution</t>
  </si>
  <si>
    <t>order_date</t>
  </si>
  <si>
    <t>order_hour</t>
  </si>
  <si>
    <t>first_order_datetime</t>
  </si>
  <si>
    <t>last_order_datetime</t>
  </si>
  <si>
    <t>operating_days</t>
  </si>
  <si>
    <t>total_orders</t>
  </si>
  <si>
    <t>orders_per_day</t>
  </si>
  <si>
    <t>shift_bucket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</si>
</sst>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\ \ hh:mm"/>
    <numFmt numFmtId="165" formatCode="[$-14009]dd/mm/yyyy;@"/>
    <numFmt numFmtId="166" formatCode="[$-14009]hh:mm:ss;@"/>
    <numFmt numFmtId="167" formatCode="0.00000"/>
    <numFmt numFmtId="169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19FA6-C46D-47A6-B42B-2F51AF35A8B5}">
  <dimension ref="A1:F19"/>
  <sheetViews>
    <sheetView workbookViewId="0">
      <selection activeCell="B8" sqref="B8"/>
    </sheetView>
  </sheetViews>
  <sheetFormatPr defaultRowHeight="14.4" x14ac:dyDescent="0.3"/>
  <cols>
    <col min="1" max="1" width="7.109375" style="1" bestFit="1" customWidth="1"/>
    <col min="2" max="2" width="25.44140625" style="1" bestFit="1" customWidth="1"/>
    <col min="3" max="3" width="9.77734375" style="2" bestFit="1" customWidth="1"/>
    <col min="4" max="4" width="8.6640625" style="1" bestFit="1" customWidth="1"/>
    <col min="5" max="5" width="8.33203125" style="2" bestFit="1" customWidth="1"/>
    <col min="6" max="6" width="8.88671875" style="7"/>
  </cols>
  <sheetData>
    <row r="1" spans="1:6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7" t="s">
        <v>775</v>
      </c>
    </row>
    <row r="2" spans="1:6" x14ac:dyDescent="0.3">
      <c r="A2" s="1" t="s">
        <v>5</v>
      </c>
      <c r="B2" s="1" t="s">
        <v>6</v>
      </c>
      <c r="C2" s="2">
        <v>1000</v>
      </c>
      <c r="D2" s="1" t="s">
        <v>7</v>
      </c>
      <c r="E2" s="2">
        <v>12</v>
      </c>
      <c r="F2" s="7">
        <f>E2/C2</f>
        <v>1.2E-2</v>
      </c>
    </row>
    <row r="3" spans="1:6" x14ac:dyDescent="0.3">
      <c r="A3" s="1" t="s">
        <v>8</v>
      </c>
      <c r="B3" s="1" t="s">
        <v>9</v>
      </c>
      <c r="C3" s="2">
        <v>1000</v>
      </c>
      <c r="D3" s="1" t="s">
        <v>10</v>
      </c>
      <c r="E3" s="2">
        <v>1.2</v>
      </c>
      <c r="F3" s="7">
        <f t="shared" ref="F3:F19" si="0">E3/C3</f>
        <v>1.1999999999999999E-3</v>
      </c>
    </row>
    <row r="4" spans="1:6" x14ac:dyDescent="0.3">
      <c r="A4" s="1" t="s">
        <v>11</v>
      </c>
      <c r="B4" s="1" t="s">
        <v>12</v>
      </c>
      <c r="C4" s="2">
        <v>500</v>
      </c>
      <c r="D4" s="1" t="s">
        <v>7</v>
      </c>
      <c r="E4" s="2">
        <v>7.45</v>
      </c>
      <c r="F4" s="7">
        <f t="shared" si="0"/>
        <v>1.49E-2</v>
      </c>
    </row>
    <row r="5" spans="1:6" x14ac:dyDescent="0.3">
      <c r="A5" s="1" t="s">
        <v>13</v>
      </c>
      <c r="B5" s="1" t="s">
        <v>14</v>
      </c>
      <c r="C5" s="2">
        <v>500</v>
      </c>
      <c r="D5" s="1" t="s">
        <v>7</v>
      </c>
      <c r="E5" s="2">
        <v>5</v>
      </c>
      <c r="F5" s="7">
        <f t="shared" si="0"/>
        <v>0.01</v>
      </c>
    </row>
    <row r="6" spans="1:6" x14ac:dyDescent="0.3">
      <c r="A6" s="1" t="s">
        <v>15</v>
      </c>
      <c r="B6" s="1" t="s">
        <v>16</v>
      </c>
      <c r="C6" s="2">
        <v>300</v>
      </c>
      <c r="D6" s="1" t="s">
        <v>10</v>
      </c>
      <c r="E6" s="2">
        <v>1.35</v>
      </c>
      <c r="F6" s="7">
        <f t="shared" si="0"/>
        <v>4.5000000000000005E-3</v>
      </c>
    </row>
    <row r="7" spans="1:6" x14ac:dyDescent="0.3">
      <c r="A7" s="1" t="s">
        <v>17</v>
      </c>
      <c r="B7" s="1" t="s">
        <v>18</v>
      </c>
      <c r="C7" s="2">
        <v>1000</v>
      </c>
      <c r="D7" s="1" t="s">
        <v>10</v>
      </c>
      <c r="E7" s="2">
        <v>14.52</v>
      </c>
      <c r="F7" s="7">
        <f t="shared" si="0"/>
        <v>1.452E-2</v>
      </c>
    </row>
    <row r="8" spans="1:6" x14ac:dyDescent="0.3">
      <c r="A8" s="1" t="s">
        <v>19</v>
      </c>
      <c r="B8" s="1" t="s">
        <v>20</v>
      </c>
      <c r="C8" s="2">
        <v>1000</v>
      </c>
      <c r="D8" s="1" t="s">
        <v>10</v>
      </c>
      <c r="E8" s="2">
        <v>8.49</v>
      </c>
      <c r="F8" s="7">
        <f t="shared" si="0"/>
        <v>8.490000000000001E-3</v>
      </c>
    </row>
    <row r="9" spans="1:6" x14ac:dyDescent="0.3">
      <c r="A9" s="1" t="s">
        <v>21</v>
      </c>
      <c r="B9" s="1" t="s">
        <v>22</v>
      </c>
      <c r="C9" s="2">
        <v>1000</v>
      </c>
      <c r="D9" s="1" t="s">
        <v>10</v>
      </c>
      <c r="E9" s="2">
        <v>8.49</v>
      </c>
      <c r="F9" s="7">
        <f t="shared" si="0"/>
        <v>8.490000000000001E-3</v>
      </c>
    </row>
    <row r="10" spans="1:6" x14ac:dyDescent="0.3">
      <c r="A10" s="1" t="s">
        <v>23</v>
      </c>
      <c r="B10" s="1" t="s">
        <v>24</v>
      </c>
      <c r="C10" s="2">
        <v>1000</v>
      </c>
      <c r="D10" s="1" t="s">
        <v>10</v>
      </c>
      <c r="E10" s="2">
        <v>8.49</v>
      </c>
      <c r="F10" s="7">
        <f t="shared" si="0"/>
        <v>8.490000000000001E-3</v>
      </c>
    </row>
    <row r="11" spans="1:6" x14ac:dyDescent="0.3">
      <c r="A11" s="1" t="s">
        <v>25</v>
      </c>
      <c r="B11" s="1" t="s">
        <v>26</v>
      </c>
      <c r="C11" s="2">
        <v>1000</v>
      </c>
      <c r="D11" s="1" t="s">
        <v>7</v>
      </c>
      <c r="E11" s="2">
        <v>1.5</v>
      </c>
      <c r="F11" s="7">
        <f t="shared" si="0"/>
        <v>1.5E-3</v>
      </c>
    </row>
    <row r="12" spans="1:6" x14ac:dyDescent="0.3">
      <c r="A12" s="1" t="s">
        <v>27</v>
      </c>
      <c r="B12" s="1" t="s">
        <v>28</v>
      </c>
      <c r="C12" s="2">
        <v>4</v>
      </c>
      <c r="D12" s="1" t="s">
        <v>29</v>
      </c>
      <c r="E12" s="2">
        <v>1.35</v>
      </c>
      <c r="F12" s="7">
        <f t="shared" si="0"/>
        <v>0.33750000000000002</v>
      </c>
    </row>
    <row r="13" spans="1:6" x14ac:dyDescent="0.3">
      <c r="A13" s="1" t="s">
        <v>30</v>
      </c>
      <c r="B13" s="1" t="s">
        <v>31</v>
      </c>
      <c r="C13" s="2">
        <v>1000</v>
      </c>
      <c r="D13" s="1" t="s">
        <v>7</v>
      </c>
      <c r="E13" s="2">
        <v>22</v>
      </c>
      <c r="F13" s="7">
        <f t="shared" si="0"/>
        <v>2.1999999999999999E-2</v>
      </c>
    </row>
    <row r="14" spans="1:6" x14ac:dyDescent="0.3">
      <c r="A14" s="1" t="s">
        <v>32</v>
      </c>
      <c r="B14" s="1" t="s">
        <v>33</v>
      </c>
      <c r="C14" s="2">
        <v>1000</v>
      </c>
      <c r="D14" s="1" t="s">
        <v>7</v>
      </c>
      <c r="E14" s="2">
        <v>10.5</v>
      </c>
      <c r="F14" s="7">
        <f t="shared" si="0"/>
        <v>1.0500000000000001E-2</v>
      </c>
    </row>
    <row r="15" spans="1:6" x14ac:dyDescent="0.3">
      <c r="A15" s="1" t="s">
        <v>34</v>
      </c>
      <c r="B15" s="1" t="s">
        <v>35</v>
      </c>
      <c r="C15" s="2">
        <v>5</v>
      </c>
      <c r="D15" s="1" t="s">
        <v>29</v>
      </c>
      <c r="E15" s="2">
        <v>1.5</v>
      </c>
      <c r="F15" s="7">
        <f t="shared" si="0"/>
        <v>0.3</v>
      </c>
    </row>
    <row r="16" spans="1:6" x14ac:dyDescent="0.3">
      <c r="A16" s="1" t="s">
        <v>36</v>
      </c>
      <c r="B16" s="1" t="s">
        <v>37</v>
      </c>
      <c r="C16" s="2">
        <v>1000</v>
      </c>
      <c r="D16" s="1" t="s">
        <v>7</v>
      </c>
      <c r="E16" s="2">
        <v>27.5</v>
      </c>
      <c r="F16" s="7">
        <f t="shared" si="0"/>
        <v>2.75E-2</v>
      </c>
    </row>
    <row r="17" spans="1:6" x14ac:dyDescent="0.3">
      <c r="A17" s="1" t="s">
        <v>38</v>
      </c>
      <c r="B17" s="1" t="s">
        <v>39</v>
      </c>
      <c r="C17" s="2">
        <v>1000</v>
      </c>
      <c r="D17" s="1" t="s">
        <v>7</v>
      </c>
      <c r="E17" s="2">
        <v>15.49</v>
      </c>
      <c r="F17" s="7">
        <f t="shared" si="0"/>
        <v>1.549E-2</v>
      </c>
    </row>
    <row r="18" spans="1:6" x14ac:dyDescent="0.3">
      <c r="A18" s="1" t="s">
        <v>40</v>
      </c>
      <c r="B18" s="1" t="s">
        <v>41</v>
      </c>
      <c r="C18" s="2">
        <v>1000</v>
      </c>
      <c r="D18" s="1" t="s">
        <v>7</v>
      </c>
      <c r="E18" s="2">
        <v>16</v>
      </c>
      <c r="F18" s="7">
        <f t="shared" si="0"/>
        <v>1.6E-2</v>
      </c>
    </row>
    <row r="19" spans="1:6" x14ac:dyDescent="0.3">
      <c r="A19" s="1" t="s">
        <v>42</v>
      </c>
      <c r="B19" s="1" t="s">
        <v>43</v>
      </c>
      <c r="C19" s="2">
        <v>60</v>
      </c>
      <c r="D19" s="1" t="s">
        <v>10</v>
      </c>
      <c r="E19" s="2">
        <v>9.99</v>
      </c>
      <c r="F19" s="7">
        <f t="shared" si="0"/>
        <v>0.16650000000000001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2D030-C470-4E6D-A200-1BF9767BBBAB}">
  <dimension ref="A1:H62"/>
  <sheetViews>
    <sheetView zoomScale="99" zoomScaleNormal="99" workbookViewId="0">
      <selection activeCell="H7" sqref="H7"/>
    </sheetView>
  </sheetViews>
  <sheetFormatPr defaultRowHeight="14.4" x14ac:dyDescent="0.3"/>
  <cols>
    <col min="1" max="1" width="6.6640625" style="1" bestFit="1" customWidth="1"/>
    <col min="2" max="2" width="13.6640625" style="1" bestFit="1" customWidth="1"/>
    <col min="3" max="3" width="7.109375" style="1" bestFit="1" customWidth="1"/>
    <col min="4" max="4" width="7.6640625" style="3" bestFit="1" customWidth="1"/>
    <col min="5" max="5" width="20" bestFit="1" customWidth="1"/>
    <col min="6" max="6" width="10.109375" bestFit="1" customWidth="1"/>
    <col min="8" max="8" width="9.44140625" bestFit="1" customWidth="1"/>
  </cols>
  <sheetData>
    <row r="1" spans="1:8" x14ac:dyDescent="0.3">
      <c r="A1" s="1" t="s">
        <v>44</v>
      </c>
      <c r="B1" s="1" t="s">
        <v>45</v>
      </c>
      <c r="C1" s="1" t="s">
        <v>0</v>
      </c>
      <c r="D1" s="3" t="s">
        <v>46</v>
      </c>
      <c r="E1" t="s">
        <v>786</v>
      </c>
      <c r="F1" t="s">
        <v>783</v>
      </c>
    </row>
    <row r="2" spans="1:8" x14ac:dyDescent="0.3">
      <c r="A2" s="1">
        <v>1</v>
      </c>
      <c r="B2" s="1" t="s">
        <v>47</v>
      </c>
      <c r="C2" s="1" t="s">
        <v>5</v>
      </c>
      <c r="D2" s="3">
        <v>8</v>
      </c>
      <c r="E2" t="str">
        <f>B2 &amp; "|" &amp; C2</f>
        <v>HDR-CAP-MD|ING001</v>
      </c>
      <c r="F2">
        <f>COUNTIF($E:$E, E2)</f>
        <v>1</v>
      </c>
    </row>
    <row r="3" spans="1:8" x14ac:dyDescent="0.3">
      <c r="A3" s="1">
        <v>2</v>
      </c>
      <c r="B3" s="1" t="s">
        <v>47</v>
      </c>
      <c r="C3" s="1" t="s">
        <v>8</v>
      </c>
      <c r="D3" s="3">
        <v>130</v>
      </c>
      <c r="E3" t="str">
        <f t="shared" ref="E3:E62" si="0">B3 &amp; "|" &amp; C3</f>
        <v>HDR-CAP-MD|ING002</v>
      </c>
      <c r="F3">
        <f t="shared" ref="F3:F62" si="1">COUNTIF($E:$E, E3)</f>
        <v>1</v>
      </c>
    </row>
    <row r="4" spans="1:8" x14ac:dyDescent="0.3">
      <c r="A4" s="1">
        <v>3</v>
      </c>
      <c r="B4" s="1" t="s">
        <v>48</v>
      </c>
      <c r="C4" s="1" t="s">
        <v>5</v>
      </c>
      <c r="D4" s="3">
        <v>10</v>
      </c>
      <c r="E4" t="str">
        <f t="shared" si="0"/>
        <v>HDR-CAP-LG|ING001</v>
      </c>
      <c r="F4">
        <f t="shared" si="1"/>
        <v>1</v>
      </c>
    </row>
    <row r="5" spans="1:8" x14ac:dyDescent="0.3">
      <c r="A5" s="1">
        <v>4</v>
      </c>
      <c r="B5" s="1" t="s">
        <v>48</v>
      </c>
      <c r="C5" s="1" t="s">
        <v>8</v>
      </c>
      <c r="D5" s="3">
        <v>180</v>
      </c>
      <c r="E5" t="str">
        <f t="shared" si="0"/>
        <v>HDR-CAP-LG|ING002</v>
      </c>
      <c r="F5">
        <f t="shared" si="1"/>
        <v>1</v>
      </c>
    </row>
    <row r="6" spans="1:8" x14ac:dyDescent="0.3">
      <c r="A6" s="1">
        <v>5</v>
      </c>
      <c r="B6" s="1" t="s">
        <v>49</v>
      </c>
      <c r="C6" s="1" t="s">
        <v>5</v>
      </c>
      <c r="D6" s="3">
        <v>8</v>
      </c>
      <c r="E6" t="str">
        <f t="shared" si="0"/>
        <v>HDR-LAT-MD|ING001</v>
      </c>
      <c r="F6">
        <f t="shared" si="1"/>
        <v>1</v>
      </c>
    </row>
    <row r="7" spans="1:8" x14ac:dyDescent="0.3">
      <c r="A7" s="1">
        <v>6</v>
      </c>
      <c r="B7" s="1" t="s">
        <v>49</v>
      </c>
      <c r="C7" s="1" t="s">
        <v>8</v>
      </c>
      <c r="D7" s="3">
        <v>130</v>
      </c>
      <c r="E7" t="str">
        <f t="shared" si="0"/>
        <v>HDR-LAT-MD|ING002</v>
      </c>
      <c r="F7">
        <f t="shared" si="1"/>
        <v>1</v>
      </c>
      <c r="H7" s="3"/>
    </row>
    <row r="8" spans="1:8" x14ac:dyDescent="0.3">
      <c r="A8" s="1">
        <v>7</v>
      </c>
      <c r="B8" s="1" t="s">
        <v>50</v>
      </c>
      <c r="C8" s="1" t="s">
        <v>5</v>
      </c>
      <c r="D8" s="3">
        <v>10</v>
      </c>
      <c r="E8" t="str">
        <f t="shared" si="0"/>
        <v>HDR-LAT-LG|ING001</v>
      </c>
      <c r="F8">
        <f t="shared" si="1"/>
        <v>1</v>
      </c>
    </row>
    <row r="9" spans="1:8" x14ac:dyDescent="0.3">
      <c r="A9" s="1">
        <v>8</v>
      </c>
      <c r="B9" s="1" t="s">
        <v>50</v>
      </c>
      <c r="C9" s="1" t="s">
        <v>8</v>
      </c>
      <c r="D9" s="3">
        <v>180</v>
      </c>
      <c r="E9" t="str">
        <f t="shared" si="0"/>
        <v>HDR-LAT-LG|ING002</v>
      </c>
      <c r="F9">
        <f t="shared" si="1"/>
        <v>1</v>
      </c>
    </row>
    <row r="10" spans="1:8" x14ac:dyDescent="0.3">
      <c r="A10" s="1">
        <v>9</v>
      </c>
      <c r="B10" s="1" t="s">
        <v>51</v>
      </c>
      <c r="C10" s="1" t="s">
        <v>5</v>
      </c>
      <c r="D10" s="3">
        <v>8</v>
      </c>
      <c r="E10" t="str">
        <f t="shared" si="0"/>
        <v>HDR-FLT|ING001</v>
      </c>
      <c r="F10">
        <f t="shared" si="1"/>
        <v>1</v>
      </c>
    </row>
    <row r="11" spans="1:8" x14ac:dyDescent="0.3">
      <c r="A11" s="1">
        <v>10</v>
      </c>
      <c r="B11" s="1" t="s">
        <v>51</v>
      </c>
      <c r="C11" s="1" t="s">
        <v>8</v>
      </c>
      <c r="D11" s="3">
        <v>160</v>
      </c>
      <c r="E11" t="str">
        <f t="shared" si="0"/>
        <v>HDR-FLT|ING002</v>
      </c>
      <c r="F11">
        <f t="shared" si="1"/>
        <v>1</v>
      </c>
    </row>
    <row r="12" spans="1:8" x14ac:dyDescent="0.3">
      <c r="A12" s="1">
        <v>11</v>
      </c>
      <c r="B12" s="1" t="s">
        <v>52</v>
      </c>
      <c r="C12" s="1" t="s">
        <v>5</v>
      </c>
      <c r="D12" s="3">
        <v>8</v>
      </c>
      <c r="E12" t="str">
        <f t="shared" si="0"/>
        <v>HDR-CRM-MD|ING001</v>
      </c>
      <c r="F12">
        <f t="shared" si="1"/>
        <v>1</v>
      </c>
    </row>
    <row r="13" spans="1:8" x14ac:dyDescent="0.3">
      <c r="A13" s="1">
        <v>12</v>
      </c>
      <c r="B13" s="1" t="s">
        <v>52</v>
      </c>
      <c r="C13" s="1" t="s">
        <v>8</v>
      </c>
      <c r="D13" s="3">
        <v>120</v>
      </c>
      <c r="E13" t="str">
        <f t="shared" si="0"/>
        <v>HDR-CRM-MD|ING002</v>
      </c>
      <c r="F13">
        <f t="shared" si="1"/>
        <v>1</v>
      </c>
    </row>
    <row r="14" spans="1:8" x14ac:dyDescent="0.3">
      <c r="A14" s="1">
        <v>13</v>
      </c>
      <c r="B14" s="1" t="s">
        <v>52</v>
      </c>
      <c r="C14" s="1" t="s">
        <v>23</v>
      </c>
      <c r="D14" s="3">
        <v>20</v>
      </c>
      <c r="E14" t="str">
        <f t="shared" si="0"/>
        <v>HDR-CRM-MD|ING009</v>
      </c>
      <c r="F14">
        <f t="shared" si="1"/>
        <v>1</v>
      </c>
    </row>
    <row r="15" spans="1:8" x14ac:dyDescent="0.3">
      <c r="A15" s="1">
        <v>14</v>
      </c>
      <c r="B15" s="1" t="s">
        <v>53</v>
      </c>
      <c r="C15" s="1" t="s">
        <v>5</v>
      </c>
      <c r="D15" s="3">
        <v>10</v>
      </c>
      <c r="E15" t="str">
        <f t="shared" si="0"/>
        <v>HDR-CRM-LG|ING001</v>
      </c>
      <c r="F15">
        <f t="shared" si="1"/>
        <v>1</v>
      </c>
    </row>
    <row r="16" spans="1:8" x14ac:dyDescent="0.3">
      <c r="A16" s="1">
        <v>15</v>
      </c>
      <c r="B16" s="1" t="s">
        <v>53</v>
      </c>
      <c r="C16" s="1" t="s">
        <v>8</v>
      </c>
      <c r="D16" s="3">
        <v>160</v>
      </c>
      <c r="E16" t="str">
        <f t="shared" si="0"/>
        <v>HDR-CRM-LG|ING002</v>
      </c>
      <c r="F16">
        <f t="shared" si="1"/>
        <v>1</v>
      </c>
    </row>
    <row r="17" spans="1:6" x14ac:dyDescent="0.3">
      <c r="A17" s="1">
        <v>16</v>
      </c>
      <c r="B17" s="1" t="s">
        <v>53</v>
      </c>
      <c r="C17" s="1" t="s">
        <v>23</v>
      </c>
      <c r="D17" s="3">
        <v>30</v>
      </c>
      <c r="E17" t="str">
        <f t="shared" si="0"/>
        <v>HDR-CRM-LG|ING009</v>
      </c>
      <c r="F17">
        <f t="shared" si="1"/>
        <v>1</v>
      </c>
    </row>
    <row r="18" spans="1:6" x14ac:dyDescent="0.3">
      <c r="A18" s="1">
        <v>17</v>
      </c>
      <c r="B18" s="1" t="s">
        <v>54</v>
      </c>
      <c r="C18" s="1" t="s">
        <v>5</v>
      </c>
      <c r="D18" s="3">
        <v>8</v>
      </c>
      <c r="E18" t="str">
        <f t="shared" si="0"/>
        <v>HDR-ESP|ING001</v>
      </c>
      <c r="F18">
        <f t="shared" si="1"/>
        <v>1</v>
      </c>
    </row>
    <row r="19" spans="1:6" x14ac:dyDescent="0.3">
      <c r="A19" s="1">
        <v>18</v>
      </c>
      <c r="B19" s="1" t="s">
        <v>55</v>
      </c>
      <c r="C19" s="1" t="s">
        <v>5</v>
      </c>
      <c r="D19" s="3">
        <v>8</v>
      </c>
      <c r="E19" t="str">
        <f t="shared" si="0"/>
        <v>HDR-MOC-MD|ING001</v>
      </c>
      <c r="F19">
        <f t="shared" si="1"/>
        <v>1</v>
      </c>
    </row>
    <row r="20" spans="1:6" x14ac:dyDescent="0.3">
      <c r="A20" s="1">
        <v>19</v>
      </c>
      <c r="B20" s="1" t="s">
        <v>55</v>
      </c>
      <c r="C20" s="1" t="s">
        <v>8</v>
      </c>
      <c r="D20" s="3">
        <v>120</v>
      </c>
      <c r="E20" t="str">
        <f t="shared" si="0"/>
        <v>HDR-MOC-MD|ING002</v>
      </c>
      <c r="F20">
        <f t="shared" si="1"/>
        <v>1</v>
      </c>
    </row>
    <row r="21" spans="1:6" x14ac:dyDescent="0.3">
      <c r="A21" s="1">
        <v>20</v>
      </c>
      <c r="B21" s="1" t="s">
        <v>55</v>
      </c>
      <c r="C21" s="1" t="s">
        <v>19</v>
      </c>
      <c r="D21" s="3">
        <v>20</v>
      </c>
      <c r="E21" t="str">
        <f t="shared" si="0"/>
        <v>HDR-MOC-MD|ING007</v>
      </c>
      <c r="F21">
        <f t="shared" si="1"/>
        <v>1</v>
      </c>
    </row>
    <row r="22" spans="1:6" x14ac:dyDescent="0.3">
      <c r="A22" s="1">
        <v>21</v>
      </c>
      <c r="B22" s="1" t="s">
        <v>56</v>
      </c>
      <c r="C22" s="1" t="s">
        <v>5</v>
      </c>
      <c r="D22" s="3">
        <v>10</v>
      </c>
      <c r="E22" t="str">
        <f t="shared" si="0"/>
        <v>HDR-MOC-LG|ING001</v>
      </c>
      <c r="F22">
        <f t="shared" si="1"/>
        <v>1</v>
      </c>
    </row>
    <row r="23" spans="1:6" x14ac:dyDescent="0.3">
      <c r="A23" s="1">
        <v>22</v>
      </c>
      <c r="B23" s="1" t="s">
        <v>56</v>
      </c>
      <c r="C23" s="1" t="s">
        <v>8</v>
      </c>
      <c r="D23" s="3">
        <v>160</v>
      </c>
      <c r="E23" t="str">
        <f t="shared" si="0"/>
        <v>HDR-MOC-LG|ING002</v>
      </c>
      <c r="F23">
        <f t="shared" si="1"/>
        <v>1</v>
      </c>
    </row>
    <row r="24" spans="1:6" x14ac:dyDescent="0.3">
      <c r="A24" s="1">
        <v>23</v>
      </c>
      <c r="B24" s="1" t="s">
        <v>56</v>
      </c>
      <c r="C24" s="1" t="s">
        <v>19</v>
      </c>
      <c r="D24" s="3">
        <v>30</v>
      </c>
      <c r="E24" t="str">
        <f t="shared" si="0"/>
        <v>HDR-MOC-LG|ING007</v>
      </c>
      <c r="F24">
        <f t="shared" si="1"/>
        <v>1</v>
      </c>
    </row>
    <row r="25" spans="1:6" x14ac:dyDescent="0.3">
      <c r="A25" s="1">
        <v>24</v>
      </c>
      <c r="B25" s="1" t="s">
        <v>57</v>
      </c>
      <c r="C25" s="1" t="s">
        <v>5</v>
      </c>
      <c r="D25" s="3">
        <v>8</v>
      </c>
      <c r="E25" t="str">
        <f t="shared" si="0"/>
        <v>HDR-WMO-MD|ING001</v>
      </c>
      <c r="F25">
        <f t="shared" si="1"/>
        <v>1</v>
      </c>
    </row>
    <row r="26" spans="1:6" x14ac:dyDescent="0.3">
      <c r="A26" s="1">
        <v>25</v>
      </c>
      <c r="B26" s="1" t="s">
        <v>57</v>
      </c>
      <c r="C26" s="1" t="s">
        <v>8</v>
      </c>
      <c r="D26" s="3">
        <v>120</v>
      </c>
      <c r="E26" t="str">
        <f t="shared" si="0"/>
        <v>HDR-WMO-MD|ING002</v>
      </c>
      <c r="F26">
        <f t="shared" si="1"/>
        <v>1</v>
      </c>
    </row>
    <row r="27" spans="1:6" x14ac:dyDescent="0.3">
      <c r="A27" s="1">
        <v>26</v>
      </c>
      <c r="B27" s="1" t="s">
        <v>57</v>
      </c>
      <c r="C27" s="1" t="s">
        <v>21</v>
      </c>
      <c r="D27" s="3">
        <v>20</v>
      </c>
      <c r="E27" t="str">
        <f t="shared" si="0"/>
        <v>HDR-WMO-MD|ING008</v>
      </c>
      <c r="F27">
        <f t="shared" si="1"/>
        <v>1</v>
      </c>
    </row>
    <row r="28" spans="1:6" x14ac:dyDescent="0.3">
      <c r="A28" s="1">
        <v>27</v>
      </c>
      <c r="B28" s="1" t="s">
        <v>58</v>
      </c>
      <c r="C28" s="1" t="s">
        <v>5</v>
      </c>
      <c r="D28" s="3">
        <v>10</v>
      </c>
      <c r="E28" t="str">
        <f t="shared" si="0"/>
        <v>HDR-WMO-LG|ING001</v>
      </c>
      <c r="F28">
        <f t="shared" si="1"/>
        <v>1</v>
      </c>
    </row>
    <row r="29" spans="1:6" x14ac:dyDescent="0.3">
      <c r="A29" s="1">
        <v>28</v>
      </c>
      <c r="B29" s="1" t="s">
        <v>58</v>
      </c>
      <c r="C29" s="1" t="s">
        <v>8</v>
      </c>
      <c r="D29" s="3">
        <v>160</v>
      </c>
      <c r="E29" t="str">
        <f t="shared" si="0"/>
        <v>HDR-WMO-LG|ING002</v>
      </c>
      <c r="F29">
        <f t="shared" si="1"/>
        <v>1</v>
      </c>
    </row>
    <row r="30" spans="1:6" x14ac:dyDescent="0.3">
      <c r="A30" s="1">
        <v>29</v>
      </c>
      <c r="B30" s="1" t="s">
        <v>58</v>
      </c>
      <c r="C30" s="1" t="s">
        <v>21</v>
      </c>
      <c r="D30" s="3">
        <v>30</v>
      </c>
      <c r="E30" t="str">
        <f t="shared" si="0"/>
        <v>HDR-WMO-LG|ING008</v>
      </c>
      <c r="F30">
        <f t="shared" si="1"/>
        <v>1</v>
      </c>
    </row>
    <row r="31" spans="1:6" x14ac:dyDescent="0.3">
      <c r="A31" s="1">
        <v>30</v>
      </c>
      <c r="B31" s="1" t="s">
        <v>59</v>
      </c>
      <c r="C31" s="1" t="s">
        <v>8</v>
      </c>
      <c r="D31" s="3">
        <v>130</v>
      </c>
      <c r="E31" t="str">
        <f t="shared" si="0"/>
        <v>HDR-HCH-MD|ING002</v>
      </c>
      <c r="F31">
        <f t="shared" si="1"/>
        <v>1</v>
      </c>
    </row>
    <row r="32" spans="1:6" x14ac:dyDescent="0.3">
      <c r="A32" s="1">
        <v>31</v>
      </c>
      <c r="B32" s="1" t="s">
        <v>59</v>
      </c>
      <c r="C32" s="1" t="s">
        <v>30</v>
      </c>
      <c r="D32" s="3">
        <v>25</v>
      </c>
      <c r="E32" t="str">
        <f t="shared" si="0"/>
        <v>HDR-HCH-MD|ING012</v>
      </c>
      <c r="F32">
        <f t="shared" si="1"/>
        <v>1</v>
      </c>
    </row>
    <row r="33" spans="1:6" x14ac:dyDescent="0.3">
      <c r="A33" s="1">
        <v>32</v>
      </c>
      <c r="B33" s="1" t="s">
        <v>59</v>
      </c>
      <c r="C33" s="1" t="s">
        <v>32</v>
      </c>
      <c r="D33" s="3">
        <v>20</v>
      </c>
      <c r="E33" t="str">
        <f t="shared" si="0"/>
        <v>HDR-HCH-MD|ING013</v>
      </c>
      <c r="F33">
        <f t="shared" si="1"/>
        <v>1</v>
      </c>
    </row>
    <row r="34" spans="1:6" x14ac:dyDescent="0.3">
      <c r="A34" s="1">
        <v>33</v>
      </c>
      <c r="B34" s="1" t="s">
        <v>59</v>
      </c>
      <c r="C34" s="1" t="s">
        <v>15</v>
      </c>
      <c r="D34" s="3">
        <v>30</v>
      </c>
      <c r="E34" t="str">
        <f t="shared" si="0"/>
        <v>HDR-HCH-MD|ING005</v>
      </c>
      <c r="F34">
        <f t="shared" si="1"/>
        <v>1</v>
      </c>
    </row>
    <row r="35" spans="1:6" x14ac:dyDescent="0.3">
      <c r="A35" s="1">
        <v>34</v>
      </c>
      <c r="B35" s="1" t="s">
        <v>60</v>
      </c>
      <c r="C35" s="1" t="s">
        <v>8</v>
      </c>
      <c r="D35" s="3">
        <v>180</v>
      </c>
      <c r="E35" t="str">
        <f t="shared" si="0"/>
        <v>HDR-HCH-LG|ING002</v>
      </c>
      <c r="F35">
        <f t="shared" si="1"/>
        <v>1</v>
      </c>
    </row>
    <row r="36" spans="1:6" x14ac:dyDescent="0.3">
      <c r="A36" s="1">
        <v>35</v>
      </c>
      <c r="B36" s="1" t="s">
        <v>60</v>
      </c>
      <c r="C36" s="1" t="s">
        <v>30</v>
      </c>
      <c r="D36" s="3">
        <v>35</v>
      </c>
      <c r="E36" t="str">
        <f t="shared" si="0"/>
        <v>HDR-HCH-LG|ING012</v>
      </c>
      <c r="F36">
        <f t="shared" si="1"/>
        <v>1</v>
      </c>
    </row>
    <row r="37" spans="1:6" x14ac:dyDescent="0.3">
      <c r="A37" s="1">
        <v>36</v>
      </c>
      <c r="B37" s="1" t="s">
        <v>60</v>
      </c>
      <c r="C37" s="1" t="s">
        <v>32</v>
      </c>
      <c r="D37" s="3">
        <v>30</v>
      </c>
      <c r="E37" t="str">
        <f t="shared" si="0"/>
        <v>HDR-HCH-LG|ING013</v>
      </c>
      <c r="F37">
        <f t="shared" si="1"/>
        <v>1</v>
      </c>
    </row>
    <row r="38" spans="1:6" x14ac:dyDescent="0.3">
      <c r="A38" s="1">
        <v>37</v>
      </c>
      <c r="B38" s="1" t="s">
        <v>60</v>
      </c>
      <c r="C38" s="1" t="s">
        <v>15</v>
      </c>
      <c r="D38" s="3">
        <v>40</v>
      </c>
      <c r="E38" t="str">
        <f t="shared" si="0"/>
        <v>HDR-HCH-LG|ING005</v>
      </c>
      <c r="F38">
        <f t="shared" si="1"/>
        <v>1</v>
      </c>
    </row>
    <row r="39" spans="1:6" x14ac:dyDescent="0.3">
      <c r="A39" s="1">
        <v>38</v>
      </c>
      <c r="B39" s="1" t="s">
        <v>61</v>
      </c>
      <c r="C39" s="1" t="s">
        <v>5</v>
      </c>
      <c r="D39" s="3">
        <v>8</v>
      </c>
      <c r="E39" t="str">
        <f t="shared" si="0"/>
        <v>CDR-CCF-MD|ING001</v>
      </c>
      <c r="F39">
        <f t="shared" si="1"/>
        <v>1</v>
      </c>
    </row>
    <row r="40" spans="1:6" x14ac:dyDescent="0.3">
      <c r="A40" s="1">
        <v>39</v>
      </c>
      <c r="B40" s="1" t="s">
        <v>61</v>
      </c>
      <c r="C40" s="1" t="s">
        <v>8</v>
      </c>
      <c r="D40" s="3">
        <v>130</v>
      </c>
      <c r="E40" t="str">
        <f t="shared" si="0"/>
        <v>CDR-CCF-MD|ING002</v>
      </c>
      <c r="F40">
        <f t="shared" si="1"/>
        <v>1</v>
      </c>
    </row>
    <row r="41" spans="1:6" x14ac:dyDescent="0.3">
      <c r="A41" s="1">
        <v>40</v>
      </c>
      <c r="B41" s="1" t="s">
        <v>62</v>
      </c>
      <c r="C41" s="1" t="s">
        <v>5</v>
      </c>
      <c r="D41" s="3">
        <v>10</v>
      </c>
      <c r="E41" t="str">
        <f t="shared" si="0"/>
        <v>CDR-CCF-LG|ING001</v>
      </c>
      <c r="F41">
        <f t="shared" si="1"/>
        <v>1</v>
      </c>
    </row>
    <row r="42" spans="1:6" x14ac:dyDescent="0.3">
      <c r="A42" s="1">
        <v>41</v>
      </c>
      <c r="B42" s="1" t="s">
        <v>62</v>
      </c>
      <c r="C42" s="1" t="s">
        <v>8</v>
      </c>
      <c r="D42" s="3">
        <v>180</v>
      </c>
      <c r="E42" t="str">
        <f t="shared" si="0"/>
        <v>CDR-CCF-LG|ING002</v>
      </c>
      <c r="F42">
        <f t="shared" si="1"/>
        <v>1</v>
      </c>
    </row>
    <row r="43" spans="1:6" x14ac:dyDescent="0.3">
      <c r="A43" s="1">
        <v>42</v>
      </c>
      <c r="B43" s="1" t="s">
        <v>63</v>
      </c>
      <c r="C43" s="1" t="s">
        <v>5</v>
      </c>
      <c r="D43" s="3">
        <v>8</v>
      </c>
      <c r="E43" t="str">
        <f t="shared" si="0"/>
        <v>CDR-CMO-MD|ING001</v>
      </c>
      <c r="F43">
        <f t="shared" si="1"/>
        <v>1</v>
      </c>
    </row>
    <row r="44" spans="1:6" x14ac:dyDescent="0.3">
      <c r="A44" s="1">
        <v>43</v>
      </c>
      <c r="B44" s="1" t="s">
        <v>63</v>
      </c>
      <c r="C44" s="1" t="s">
        <v>8</v>
      </c>
      <c r="D44" s="3">
        <v>120</v>
      </c>
      <c r="E44" t="str">
        <f t="shared" si="0"/>
        <v>CDR-CMO-MD|ING002</v>
      </c>
      <c r="F44">
        <f t="shared" si="1"/>
        <v>1</v>
      </c>
    </row>
    <row r="45" spans="1:6" x14ac:dyDescent="0.3">
      <c r="A45" s="1">
        <v>44</v>
      </c>
      <c r="B45" s="1" t="s">
        <v>63</v>
      </c>
      <c r="C45" s="1" t="s">
        <v>19</v>
      </c>
      <c r="D45" s="3">
        <v>20</v>
      </c>
      <c r="E45" t="str">
        <f t="shared" si="0"/>
        <v>CDR-CMO-MD|ING007</v>
      </c>
      <c r="F45">
        <f t="shared" si="1"/>
        <v>1</v>
      </c>
    </row>
    <row r="46" spans="1:6" x14ac:dyDescent="0.3">
      <c r="A46" s="1">
        <v>45</v>
      </c>
      <c r="B46" s="1" t="s">
        <v>64</v>
      </c>
      <c r="C46" s="1" t="s">
        <v>5</v>
      </c>
      <c r="D46" s="3">
        <v>10</v>
      </c>
      <c r="E46" t="str">
        <f t="shared" si="0"/>
        <v>CDR-CMO-LG|ING001</v>
      </c>
      <c r="F46">
        <f t="shared" si="1"/>
        <v>1</v>
      </c>
    </row>
    <row r="47" spans="1:6" x14ac:dyDescent="0.3">
      <c r="A47" s="1">
        <v>46</v>
      </c>
      <c r="B47" s="1" t="s">
        <v>64</v>
      </c>
      <c r="C47" s="1" t="s">
        <v>8</v>
      </c>
      <c r="D47" s="3">
        <v>160</v>
      </c>
      <c r="E47" t="str">
        <f t="shared" si="0"/>
        <v>CDR-CMO-LG|ING002</v>
      </c>
      <c r="F47">
        <f t="shared" si="1"/>
        <v>1</v>
      </c>
    </row>
    <row r="48" spans="1:6" x14ac:dyDescent="0.3">
      <c r="A48" s="1">
        <v>47</v>
      </c>
      <c r="B48" s="1" t="s">
        <v>64</v>
      </c>
      <c r="C48" s="1" t="s">
        <v>19</v>
      </c>
      <c r="D48" s="3">
        <v>30</v>
      </c>
      <c r="E48" t="str">
        <f t="shared" si="0"/>
        <v>CDR-CMO-LG|ING007</v>
      </c>
      <c r="F48">
        <f t="shared" si="1"/>
        <v>1</v>
      </c>
    </row>
    <row r="49" spans="1:6" x14ac:dyDescent="0.3">
      <c r="A49" s="1">
        <v>48</v>
      </c>
      <c r="B49" s="1" t="s">
        <v>65</v>
      </c>
      <c r="C49" s="1" t="s">
        <v>40</v>
      </c>
      <c r="D49" s="3">
        <v>10</v>
      </c>
      <c r="E49" t="str">
        <f t="shared" si="0"/>
        <v>CDR-ICT-MD|ING017</v>
      </c>
      <c r="F49">
        <f t="shared" si="1"/>
        <v>1</v>
      </c>
    </row>
    <row r="50" spans="1:6" x14ac:dyDescent="0.3">
      <c r="A50" s="1">
        <v>49</v>
      </c>
      <c r="B50" s="1" t="s">
        <v>65</v>
      </c>
      <c r="C50" s="1" t="s">
        <v>25</v>
      </c>
      <c r="D50" s="3">
        <v>20</v>
      </c>
      <c r="E50" t="str">
        <f t="shared" si="0"/>
        <v>CDR-ICT-MD|ING010</v>
      </c>
      <c r="F50">
        <f t="shared" si="1"/>
        <v>1</v>
      </c>
    </row>
    <row r="51" spans="1:6" x14ac:dyDescent="0.3">
      <c r="A51" s="1">
        <v>50</v>
      </c>
      <c r="B51" s="1" t="s">
        <v>66</v>
      </c>
      <c r="C51" s="1" t="s">
        <v>38</v>
      </c>
      <c r="D51" s="3">
        <v>15</v>
      </c>
      <c r="E51" t="str">
        <f t="shared" si="0"/>
        <v>CDR-ICT-LG|ING016</v>
      </c>
      <c r="F51">
        <f t="shared" si="1"/>
        <v>1</v>
      </c>
    </row>
    <row r="52" spans="1:6" x14ac:dyDescent="0.3">
      <c r="A52" s="1">
        <v>51</v>
      </c>
      <c r="B52" s="1" t="s">
        <v>66</v>
      </c>
      <c r="C52" s="1" t="s">
        <v>25</v>
      </c>
      <c r="D52" s="3">
        <v>25</v>
      </c>
      <c r="E52" t="str">
        <f t="shared" si="0"/>
        <v>CDR-ICT-LG|ING010</v>
      </c>
      <c r="F52">
        <f t="shared" si="1"/>
        <v>1</v>
      </c>
    </row>
    <row r="53" spans="1:6" x14ac:dyDescent="0.3">
      <c r="A53" s="1">
        <v>52</v>
      </c>
      <c r="B53" s="1" t="s">
        <v>67</v>
      </c>
      <c r="C53" s="1" t="s">
        <v>34</v>
      </c>
      <c r="D53" s="3">
        <v>1</v>
      </c>
      <c r="E53" t="str">
        <f t="shared" si="0"/>
        <v>CDR-LMN-MD|ING014</v>
      </c>
      <c r="F53">
        <f t="shared" si="1"/>
        <v>1</v>
      </c>
    </row>
    <row r="54" spans="1:6" x14ac:dyDescent="0.3">
      <c r="A54" s="1">
        <v>53</v>
      </c>
      <c r="B54" s="1" t="s">
        <v>67</v>
      </c>
      <c r="C54" s="1" t="s">
        <v>25</v>
      </c>
      <c r="D54" s="3">
        <v>30</v>
      </c>
      <c r="E54" t="str">
        <f t="shared" si="0"/>
        <v>CDR-LMN-MD|ING010</v>
      </c>
      <c r="F54">
        <f t="shared" si="1"/>
        <v>1</v>
      </c>
    </row>
    <row r="55" spans="1:6" x14ac:dyDescent="0.3">
      <c r="A55" s="1">
        <v>54</v>
      </c>
      <c r="B55" s="1" t="s">
        <v>68</v>
      </c>
      <c r="C55" s="1" t="s">
        <v>34</v>
      </c>
      <c r="D55" s="3">
        <v>1</v>
      </c>
      <c r="E55" t="str">
        <f t="shared" si="0"/>
        <v>CDR-LMN-LG|ING014</v>
      </c>
      <c r="F55">
        <f t="shared" si="1"/>
        <v>1</v>
      </c>
    </row>
    <row r="56" spans="1:6" x14ac:dyDescent="0.3">
      <c r="A56" s="1">
        <v>55</v>
      </c>
      <c r="B56" s="1" t="s">
        <v>68</v>
      </c>
      <c r="C56" s="1" t="s">
        <v>25</v>
      </c>
      <c r="D56" s="3">
        <v>40</v>
      </c>
      <c r="E56" t="str">
        <f t="shared" si="0"/>
        <v>CDR-LMN-LG|ING010</v>
      </c>
      <c r="F56">
        <f t="shared" si="1"/>
        <v>1</v>
      </c>
    </row>
    <row r="57" spans="1:6" x14ac:dyDescent="0.3">
      <c r="A57" s="1">
        <v>56</v>
      </c>
      <c r="B57" s="1" t="s">
        <v>69</v>
      </c>
      <c r="C57" s="1" t="s">
        <v>27</v>
      </c>
      <c r="D57" s="3">
        <v>1</v>
      </c>
      <c r="E57" t="str">
        <f t="shared" si="0"/>
        <v>SNK-SHC|ING011</v>
      </c>
      <c r="F57">
        <f t="shared" si="1"/>
        <v>1</v>
      </c>
    </row>
    <row r="58" spans="1:6" x14ac:dyDescent="0.3">
      <c r="A58" s="1">
        <v>57</v>
      </c>
      <c r="B58" s="1" t="s">
        <v>69</v>
      </c>
      <c r="C58" s="1" t="s">
        <v>36</v>
      </c>
      <c r="D58" s="3">
        <v>50</v>
      </c>
      <c r="E58" t="str">
        <f t="shared" si="0"/>
        <v>SNK-SHC|ING015</v>
      </c>
      <c r="F58">
        <f t="shared" si="1"/>
        <v>1</v>
      </c>
    </row>
    <row r="59" spans="1:6" x14ac:dyDescent="0.3">
      <c r="A59" s="1">
        <v>58</v>
      </c>
      <c r="B59" s="1" t="s">
        <v>69</v>
      </c>
      <c r="C59" s="1" t="s">
        <v>11</v>
      </c>
      <c r="D59" s="3">
        <v>20</v>
      </c>
      <c r="E59" t="str">
        <f t="shared" si="0"/>
        <v>SNK-SHC|ING003</v>
      </c>
      <c r="F59">
        <f t="shared" si="1"/>
        <v>1</v>
      </c>
    </row>
    <row r="60" spans="1:6" x14ac:dyDescent="0.3">
      <c r="A60" s="1">
        <v>59</v>
      </c>
      <c r="B60" s="1" t="s">
        <v>70</v>
      </c>
      <c r="C60" s="1" t="s">
        <v>27</v>
      </c>
      <c r="D60" s="3">
        <v>1</v>
      </c>
      <c r="E60" t="str">
        <f t="shared" si="0"/>
        <v>SNK-SSM|ING011</v>
      </c>
      <c r="F60">
        <f t="shared" si="1"/>
        <v>1</v>
      </c>
    </row>
    <row r="61" spans="1:6" x14ac:dyDescent="0.3">
      <c r="A61" s="1">
        <v>60</v>
      </c>
      <c r="B61" s="1" t="s">
        <v>70</v>
      </c>
      <c r="C61" s="1" t="s">
        <v>38</v>
      </c>
      <c r="D61" s="3">
        <v>50</v>
      </c>
      <c r="E61" t="str">
        <f t="shared" si="0"/>
        <v>SNK-SSM|ING016</v>
      </c>
      <c r="F61">
        <f t="shared" si="1"/>
        <v>1</v>
      </c>
    </row>
    <row r="62" spans="1:6" x14ac:dyDescent="0.3">
      <c r="A62" s="1">
        <v>61</v>
      </c>
      <c r="B62" s="1" t="s">
        <v>70</v>
      </c>
      <c r="C62" s="1" t="s">
        <v>13</v>
      </c>
      <c r="D62" s="3">
        <v>20</v>
      </c>
      <c r="E62" t="str">
        <f t="shared" si="0"/>
        <v>SNK-SSM|ING004</v>
      </c>
      <c r="F62">
        <f t="shared" si="1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B4D30-B657-4F01-AB7F-2C0886B2240D}">
  <dimension ref="A1:C19"/>
  <sheetViews>
    <sheetView workbookViewId="0">
      <selection activeCell="B12" sqref="A1:C19"/>
    </sheetView>
  </sheetViews>
  <sheetFormatPr defaultRowHeight="14.4" x14ac:dyDescent="0.3"/>
  <cols>
    <col min="1" max="1" width="6.33203125" style="1" bestFit="1" customWidth="1"/>
    <col min="2" max="2" width="7.109375" style="1" bestFit="1" customWidth="1"/>
    <col min="3" max="3" width="7.6640625" style="3" bestFit="1" customWidth="1"/>
  </cols>
  <sheetData>
    <row r="1" spans="1:3" x14ac:dyDescent="0.3">
      <c r="A1" s="1" t="s">
        <v>71</v>
      </c>
      <c r="B1" s="1" t="s">
        <v>0</v>
      </c>
      <c r="C1" s="3" t="s">
        <v>46</v>
      </c>
    </row>
    <row r="2" spans="1:3" x14ac:dyDescent="0.3">
      <c r="A2" s="1" t="s">
        <v>72</v>
      </c>
      <c r="B2" s="1" t="s">
        <v>5</v>
      </c>
      <c r="C2" s="3">
        <v>4</v>
      </c>
    </row>
    <row r="3" spans="1:3" x14ac:dyDescent="0.3">
      <c r="A3" s="1" t="s">
        <v>73</v>
      </c>
      <c r="B3" s="1" t="s">
        <v>8</v>
      </c>
      <c r="C3" s="3">
        <v>55</v>
      </c>
    </row>
    <row r="4" spans="1:3" x14ac:dyDescent="0.3">
      <c r="A4" s="1" t="s">
        <v>74</v>
      </c>
      <c r="B4" s="1" t="s">
        <v>11</v>
      </c>
      <c r="C4" s="3">
        <v>1</v>
      </c>
    </row>
    <row r="5" spans="1:3" x14ac:dyDescent="0.3">
      <c r="A5" s="1" t="s">
        <v>75</v>
      </c>
      <c r="B5" s="1" t="s">
        <v>13</v>
      </c>
      <c r="C5" s="3">
        <v>4</v>
      </c>
    </row>
    <row r="6" spans="1:3" x14ac:dyDescent="0.3">
      <c r="A6" s="1" t="s">
        <v>76</v>
      </c>
      <c r="B6" s="1" t="s">
        <v>15</v>
      </c>
      <c r="C6" s="3">
        <v>7</v>
      </c>
    </row>
    <row r="7" spans="1:3" x14ac:dyDescent="0.3">
      <c r="A7" s="1" t="s">
        <v>77</v>
      </c>
      <c r="B7" s="1" t="s">
        <v>17</v>
      </c>
      <c r="C7" s="3">
        <v>3</v>
      </c>
    </row>
    <row r="8" spans="1:3" x14ac:dyDescent="0.3">
      <c r="A8" s="1" t="s">
        <v>78</v>
      </c>
      <c r="B8" s="1" t="s">
        <v>19</v>
      </c>
      <c r="C8" s="3">
        <v>3</v>
      </c>
    </row>
    <row r="9" spans="1:3" x14ac:dyDescent="0.3">
      <c r="A9" s="1" t="s">
        <v>79</v>
      </c>
      <c r="B9" s="1" t="s">
        <v>21</v>
      </c>
      <c r="C9" s="3">
        <v>4</v>
      </c>
    </row>
    <row r="10" spans="1:3" x14ac:dyDescent="0.3">
      <c r="A10" s="1" t="s">
        <v>80</v>
      </c>
      <c r="B10" s="1" t="s">
        <v>23</v>
      </c>
      <c r="C10" s="3">
        <v>1</v>
      </c>
    </row>
    <row r="11" spans="1:3" x14ac:dyDescent="0.3">
      <c r="A11" s="1" t="s">
        <v>81</v>
      </c>
      <c r="B11" s="1" t="s">
        <v>25</v>
      </c>
      <c r="C11" s="3">
        <v>4</v>
      </c>
    </row>
    <row r="12" spans="1:3" x14ac:dyDescent="0.3">
      <c r="A12" s="1" t="s">
        <v>82</v>
      </c>
      <c r="B12" s="1" t="s">
        <v>27</v>
      </c>
      <c r="C12" s="3">
        <v>20</v>
      </c>
    </row>
    <row r="13" spans="1:3" x14ac:dyDescent="0.3">
      <c r="A13" s="1" t="s">
        <v>83</v>
      </c>
      <c r="B13" s="1" t="s">
        <v>30</v>
      </c>
      <c r="C13" s="3">
        <v>5</v>
      </c>
    </row>
    <row r="14" spans="1:3" x14ac:dyDescent="0.3">
      <c r="A14" s="1" t="s">
        <v>84</v>
      </c>
      <c r="B14" s="1" t="s">
        <v>32</v>
      </c>
      <c r="C14" s="3">
        <v>2</v>
      </c>
    </row>
    <row r="15" spans="1:3" x14ac:dyDescent="0.3">
      <c r="A15" s="1" t="s">
        <v>85</v>
      </c>
      <c r="B15" s="1" t="s">
        <v>34</v>
      </c>
      <c r="C15" s="3">
        <v>10</v>
      </c>
    </row>
    <row r="16" spans="1:3" x14ac:dyDescent="0.3">
      <c r="A16" s="1" t="s">
        <v>86</v>
      </c>
      <c r="B16" s="1" t="s">
        <v>36</v>
      </c>
      <c r="C16" s="3">
        <v>3</v>
      </c>
    </row>
    <row r="17" spans="1:3" x14ac:dyDescent="0.3">
      <c r="A17" s="1" t="s">
        <v>87</v>
      </c>
      <c r="B17" s="1" t="s">
        <v>38</v>
      </c>
      <c r="C17" s="3">
        <v>2</v>
      </c>
    </row>
    <row r="18" spans="1:3" x14ac:dyDescent="0.3">
      <c r="A18" s="1" t="s">
        <v>88</v>
      </c>
      <c r="B18" s="1" t="s">
        <v>40</v>
      </c>
      <c r="C18" s="3">
        <v>2</v>
      </c>
    </row>
    <row r="19" spans="1:3" x14ac:dyDescent="0.3">
      <c r="A19" s="1" t="s">
        <v>89</v>
      </c>
      <c r="B19" s="1" t="s">
        <v>42</v>
      </c>
      <c r="C19" s="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FB3EE-7AA9-4C8A-93DF-B816171FC467}">
  <dimension ref="A1:F25"/>
  <sheetViews>
    <sheetView workbookViewId="0">
      <selection activeCell="B8" sqref="B8"/>
    </sheetView>
  </sheetViews>
  <sheetFormatPr defaultRowHeight="14.4" x14ac:dyDescent="0.3"/>
  <cols>
    <col min="1" max="1" width="7.109375" style="1" bestFit="1" customWidth="1"/>
    <col min="2" max="2" width="13.6640625" style="1" bestFit="1" customWidth="1"/>
    <col min="3" max="3" width="25" style="1" bestFit="1" customWidth="1"/>
    <col min="4" max="4" width="10.109375" style="1" bestFit="1" customWidth="1"/>
    <col min="5" max="5" width="8.6640625" style="1" bestFit="1" customWidth="1"/>
    <col min="6" max="6" width="9.6640625" style="2" bestFit="1" customWidth="1"/>
  </cols>
  <sheetData>
    <row r="1" spans="1:6" x14ac:dyDescent="0.3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2" t="s">
        <v>95</v>
      </c>
    </row>
    <row r="2" spans="1:6" x14ac:dyDescent="0.3">
      <c r="A2" s="1" t="s">
        <v>96</v>
      </c>
      <c r="B2" s="1" t="s">
        <v>47</v>
      </c>
      <c r="C2" s="1" t="s">
        <v>97</v>
      </c>
      <c r="D2" s="1" t="s">
        <v>98</v>
      </c>
      <c r="E2" s="1" t="s">
        <v>99</v>
      </c>
      <c r="F2" s="2">
        <v>3.45</v>
      </c>
    </row>
    <row r="3" spans="1:6" x14ac:dyDescent="0.3">
      <c r="A3" s="1" t="s">
        <v>100</v>
      </c>
      <c r="B3" s="1" t="s">
        <v>48</v>
      </c>
      <c r="C3" s="1" t="s">
        <v>97</v>
      </c>
      <c r="D3" s="1" t="s">
        <v>98</v>
      </c>
      <c r="E3" s="1" t="s">
        <v>101</v>
      </c>
      <c r="F3" s="2">
        <v>3.75</v>
      </c>
    </row>
    <row r="4" spans="1:6" x14ac:dyDescent="0.3">
      <c r="A4" s="1" t="s">
        <v>102</v>
      </c>
      <c r="B4" s="1" t="s">
        <v>49</v>
      </c>
      <c r="C4" s="1" t="s">
        <v>103</v>
      </c>
      <c r="D4" s="1" t="s">
        <v>98</v>
      </c>
      <c r="E4" s="1" t="s">
        <v>99</v>
      </c>
      <c r="F4" s="2">
        <v>3.45</v>
      </c>
    </row>
    <row r="5" spans="1:6" x14ac:dyDescent="0.3">
      <c r="A5" s="1" t="s">
        <v>104</v>
      </c>
      <c r="B5" s="1" t="s">
        <v>50</v>
      </c>
      <c r="C5" s="1" t="s">
        <v>103</v>
      </c>
      <c r="D5" s="1" t="s">
        <v>98</v>
      </c>
      <c r="E5" s="1" t="s">
        <v>101</v>
      </c>
      <c r="F5" s="2">
        <v>3.75</v>
      </c>
    </row>
    <row r="6" spans="1:6" x14ac:dyDescent="0.3">
      <c r="A6" s="1" t="s">
        <v>105</v>
      </c>
      <c r="B6" s="1" t="s">
        <v>51</v>
      </c>
      <c r="C6" s="1" t="s">
        <v>106</v>
      </c>
      <c r="D6" s="1" t="s">
        <v>98</v>
      </c>
      <c r="E6" s="1" t="s">
        <v>107</v>
      </c>
      <c r="F6" s="2">
        <v>3.15</v>
      </c>
    </row>
    <row r="7" spans="1:6" x14ac:dyDescent="0.3">
      <c r="A7" s="1" t="s">
        <v>108</v>
      </c>
      <c r="B7" s="1" t="s">
        <v>52</v>
      </c>
      <c r="C7" s="1" t="s">
        <v>109</v>
      </c>
      <c r="D7" s="1" t="s">
        <v>98</v>
      </c>
      <c r="E7" s="1" t="s">
        <v>99</v>
      </c>
      <c r="F7" s="2">
        <v>4.2</v>
      </c>
    </row>
    <row r="8" spans="1:6" x14ac:dyDescent="0.3">
      <c r="A8" s="1" t="s">
        <v>110</v>
      </c>
      <c r="B8" s="1" t="s">
        <v>53</v>
      </c>
      <c r="C8" s="1" t="s">
        <v>109</v>
      </c>
      <c r="D8" s="1" t="s">
        <v>98</v>
      </c>
      <c r="E8" s="1" t="s">
        <v>101</v>
      </c>
      <c r="F8" s="2">
        <v>4.5999999999999996</v>
      </c>
    </row>
    <row r="9" spans="1:6" x14ac:dyDescent="0.3">
      <c r="A9" s="1" t="s">
        <v>111</v>
      </c>
      <c r="B9" s="1" t="s">
        <v>54</v>
      </c>
      <c r="C9" s="1" t="s">
        <v>112</v>
      </c>
      <c r="D9" s="1" t="s">
        <v>98</v>
      </c>
      <c r="E9" s="1" t="s">
        <v>107</v>
      </c>
      <c r="F9" s="2">
        <v>2.15</v>
      </c>
    </row>
    <row r="10" spans="1:6" x14ac:dyDescent="0.3">
      <c r="A10" s="1" t="s">
        <v>113</v>
      </c>
      <c r="B10" s="1" t="s">
        <v>55</v>
      </c>
      <c r="C10" s="1" t="s">
        <v>114</v>
      </c>
      <c r="D10" s="1" t="s">
        <v>98</v>
      </c>
      <c r="E10" s="1" t="s">
        <v>99</v>
      </c>
      <c r="F10" s="2">
        <v>4</v>
      </c>
    </row>
    <row r="11" spans="1:6" x14ac:dyDescent="0.3">
      <c r="A11" s="1" t="s">
        <v>115</v>
      </c>
      <c r="B11" s="1" t="s">
        <v>56</v>
      </c>
      <c r="C11" s="1" t="s">
        <v>114</v>
      </c>
      <c r="D11" s="1" t="s">
        <v>98</v>
      </c>
      <c r="E11" s="1" t="s">
        <v>101</v>
      </c>
      <c r="F11" s="2">
        <v>4.5999999999999996</v>
      </c>
    </row>
    <row r="12" spans="1:6" x14ac:dyDescent="0.3">
      <c r="A12" s="1" t="s">
        <v>116</v>
      </c>
      <c r="B12" s="1" t="s">
        <v>57</v>
      </c>
      <c r="C12" s="1" t="s">
        <v>117</v>
      </c>
      <c r="D12" s="1" t="s">
        <v>98</v>
      </c>
      <c r="E12" s="1" t="s">
        <v>99</v>
      </c>
      <c r="F12" s="2">
        <v>4.5</v>
      </c>
    </row>
    <row r="13" spans="1:6" x14ac:dyDescent="0.3">
      <c r="A13" s="1" t="s">
        <v>118</v>
      </c>
      <c r="B13" s="1" t="s">
        <v>58</v>
      </c>
      <c r="C13" s="1" t="s">
        <v>117</v>
      </c>
      <c r="D13" s="1" t="s">
        <v>98</v>
      </c>
      <c r="E13" s="1" t="s">
        <v>101</v>
      </c>
      <c r="F13" s="2">
        <v>4.7</v>
      </c>
    </row>
    <row r="14" spans="1:6" x14ac:dyDescent="0.3">
      <c r="A14" s="1" t="s">
        <v>119</v>
      </c>
      <c r="B14" s="1" t="s">
        <v>59</v>
      </c>
      <c r="C14" s="1" t="s">
        <v>120</v>
      </c>
      <c r="D14" s="1" t="s">
        <v>98</v>
      </c>
      <c r="E14" s="1" t="s">
        <v>99</v>
      </c>
      <c r="F14" s="2">
        <v>4.2</v>
      </c>
    </row>
    <row r="15" spans="1:6" x14ac:dyDescent="0.3">
      <c r="A15" s="1" t="s">
        <v>121</v>
      </c>
      <c r="B15" s="1" t="s">
        <v>60</v>
      </c>
      <c r="C15" s="1" t="s">
        <v>120</v>
      </c>
      <c r="D15" s="1" t="s">
        <v>98</v>
      </c>
      <c r="E15" s="1" t="s">
        <v>101</v>
      </c>
      <c r="F15" s="2">
        <v>4.5999999999999996</v>
      </c>
    </row>
    <row r="16" spans="1:6" x14ac:dyDescent="0.3">
      <c r="A16" s="1" t="s">
        <v>122</v>
      </c>
      <c r="B16" s="1" t="s">
        <v>61</v>
      </c>
      <c r="C16" s="1" t="s">
        <v>123</v>
      </c>
      <c r="D16" s="1" t="s">
        <v>124</v>
      </c>
      <c r="E16" s="1" t="s">
        <v>99</v>
      </c>
      <c r="F16" s="2">
        <v>3.45</v>
      </c>
    </row>
    <row r="17" spans="1:6" x14ac:dyDescent="0.3">
      <c r="A17" s="1" t="s">
        <v>125</v>
      </c>
      <c r="B17" s="1" t="s">
        <v>62</v>
      </c>
      <c r="C17" s="1" t="s">
        <v>123</v>
      </c>
      <c r="D17" s="1" t="s">
        <v>124</v>
      </c>
      <c r="E17" s="1" t="s">
        <v>101</v>
      </c>
      <c r="F17" s="2">
        <v>3.75</v>
      </c>
    </row>
    <row r="18" spans="1:6" x14ac:dyDescent="0.3">
      <c r="A18" s="1" t="s">
        <v>126</v>
      </c>
      <c r="B18" s="1" t="s">
        <v>63</v>
      </c>
      <c r="C18" s="1" t="s">
        <v>127</v>
      </c>
      <c r="D18" s="1" t="s">
        <v>124</v>
      </c>
      <c r="E18" s="1" t="s">
        <v>99</v>
      </c>
      <c r="F18" s="2">
        <v>4</v>
      </c>
    </row>
    <row r="19" spans="1:6" x14ac:dyDescent="0.3">
      <c r="A19" s="1" t="s">
        <v>128</v>
      </c>
      <c r="B19" s="1" t="s">
        <v>64</v>
      </c>
      <c r="C19" s="1" t="s">
        <v>127</v>
      </c>
      <c r="D19" s="1" t="s">
        <v>124</v>
      </c>
      <c r="E19" s="1" t="s">
        <v>101</v>
      </c>
      <c r="F19" s="2">
        <v>4.5999999999999996</v>
      </c>
    </row>
    <row r="20" spans="1:6" x14ac:dyDescent="0.3">
      <c r="A20" s="1" t="s">
        <v>129</v>
      </c>
      <c r="B20" s="1" t="s">
        <v>65</v>
      </c>
      <c r="C20" s="1" t="s">
        <v>130</v>
      </c>
      <c r="D20" s="1" t="s">
        <v>124</v>
      </c>
      <c r="E20" s="1" t="s">
        <v>99</v>
      </c>
      <c r="F20" s="2">
        <v>3.25</v>
      </c>
    </row>
    <row r="21" spans="1:6" x14ac:dyDescent="0.3">
      <c r="A21" s="1" t="s">
        <v>131</v>
      </c>
      <c r="B21" s="1" t="s">
        <v>66</v>
      </c>
      <c r="C21" s="1" t="s">
        <v>130</v>
      </c>
      <c r="D21" s="1" t="s">
        <v>124</v>
      </c>
      <c r="E21" s="1" t="s">
        <v>101</v>
      </c>
      <c r="F21" s="2">
        <v>3.55</v>
      </c>
    </row>
    <row r="22" spans="1:6" x14ac:dyDescent="0.3">
      <c r="A22" s="1" t="s">
        <v>132</v>
      </c>
      <c r="B22" s="1" t="s">
        <v>67</v>
      </c>
      <c r="C22" s="1" t="s">
        <v>133</v>
      </c>
      <c r="D22" s="1" t="s">
        <v>124</v>
      </c>
      <c r="E22" s="1" t="s">
        <v>99</v>
      </c>
      <c r="F22" s="2">
        <v>3.35</v>
      </c>
    </row>
    <row r="23" spans="1:6" x14ac:dyDescent="0.3">
      <c r="A23" s="1" t="s">
        <v>134</v>
      </c>
      <c r="B23" s="1" t="s">
        <v>68</v>
      </c>
      <c r="C23" s="1" t="s">
        <v>133</v>
      </c>
      <c r="D23" s="1" t="s">
        <v>124</v>
      </c>
      <c r="E23" s="1" t="s">
        <v>101</v>
      </c>
      <c r="F23" s="2">
        <v>3.75</v>
      </c>
    </row>
    <row r="24" spans="1:6" x14ac:dyDescent="0.3">
      <c r="A24" s="1" t="s">
        <v>135</v>
      </c>
      <c r="B24" s="1" t="s">
        <v>69</v>
      </c>
      <c r="C24" s="1" t="s">
        <v>136</v>
      </c>
      <c r="D24" s="1" t="s">
        <v>137</v>
      </c>
      <c r="E24" s="1" t="s">
        <v>107</v>
      </c>
      <c r="F24" s="2">
        <v>5.6</v>
      </c>
    </row>
    <row r="25" spans="1:6" x14ac:dyDescent="0.3">
      <c r="A25" s="1" t="s">
        <v>138</v>
      </c>
      <c r="B25" s="1" t="s">
        <v>70</v>
      </c>
      <c r="C25" s="1" t="s">
        <v>139</v>
      </c>
      <c r="D25" s="1" t="s">
        <v>137</v>
      </c>
      <c r="E25" s="1" t="s">
        <v>107</v>
      </c>
      <c r="F25" s="2">
        <v>5.5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65998-80C9-4A75-9CF0-3697F5156CDB}">
  <dimension ref="A1:I521"/>
  <sheetViews>
    <sheetView workbookViewId="0">
      <selection activeCell="F17" sqref="F17"/>
    </sheetView>
  </sheetViews>
  <sheetFormatPr defaultRowHeight="14.4" x14ac:dyDescent="0.3"/>
  <cols>
    <col min="1" max="1" width="6.6640625" style="1" bestFit="1" customWidth="1"/>
    <col min="2" max="2" width="7.88671875" style="1" bestFit="1" customWidth="1"/>
    <col min="3" max="3" width="15.88671875" style="4" bestFit="1" customWidth="1"/>
    <col min="4" max="4" width="7.109375" style="1" bestFit="1" customWidth="1"/>
    <col min="5" max="5" width="7.6640625" style="3" bestFit="1" customWidth="1"/>
    <col min="6" max="6" width="9.88671875" style="1" bestFit="1" customWidth="1"/>
    <col min="7" max="7" width="9" style="1" bestFit="1" customWidth="1"/>
    <col min="8" max="8" width="17.6640625" style="1" bestFit="1" customWidth="1"/>
    <col min="9" max="9" width="13.5546875" bestFit="1" customWidth="1"/>
  </cols>
  <sheetData>
    <row r="1" spans="1:9" x14ac:dyDescent="0.3">
      <c r="A1" s="1" t="s">
        <v>44</v>
      </c>
      <c r="B1" s="1" t="s">
        <v>140</v>
      </c>
      <c r="C1" s="4" t="s">
        <v>141</v>
      </c>
      <c r="D1" s="1" t="s">
        <v>90</v>
      </c>
      <c r="E1" s="3" t="s">
        <v>46</v>
      </c>
      <c r="F1" s="1" t="s">
        <v>142</v>
      </c>
      <c r="G1" s="1" t="s">
        <v>143</v>
      </c>
      <c r="H1" s="1" t="s">
        <v>784</v>
      </c>
      <c r="I1" t="s">
        <v>785</v>
      </c>
    </row>
    <row r="2" spans="1:9" x14ac:dyDescent="0.3">
      <c r="A2" s="1">
        <v>1</v>
      </c>
      <c r="B2" s="1" t="s">
        <v>144</v>
      </c>
      <c r="C2" s="4">
        <v>45334.294664351852</v>
      </c>
      <c r="D2" s="1" t="s">
        <v>111</v>
      </c>
      <c r="E2" s="3">
        <v>1</v>
      </c>
      <c r="F2" s="1" t="s">
        <v>145</v>
      </c>
      <c r="G2" s="1" t="s">
        <v>146</v>
      </c>
      <c r="H2" s="1" t="str">
        <f>IF(COUNTIF(items_clean!$A:$A, D2)&gt;0, "Valid", "Invalid")</f>
        <v>Valid</v>
      </c>
      <c r="I2">
        <f>IF(COUNTIF(items_clean!$A:$A, D2)&gt;0, 1, 0)</f>
        <v>1</v>
      </c>
    </row>
    <row r="3" spans="1:9" x14ac:dyDescent="0.3">
      <c r="A3" s="1">
        <v>2</v>
      </c>
      <c r="B3" s="1" t="s">
        <v>147</v>
      </c>
      <c r="C3" s="4">
        <v>45334.298356481479</v>
      </c>
      <c r="D3" s="1" t="s">
        <v>121</v>
      </c>
      <c r="E3" s="3">
        <v>1</v>
      </c>
      <c r="F3" s="1" t="s">
        <v>148</v>
      </c>
      <c r="G3" s="1" t="s">
        <v>149</v>
      </c>
      <c r="H3" s="1" t="str">
        <f>IF(COUNTIF(items_clean!$A:$A, D3)&gt;0, "Valid", "Invalid")</f>
        <v>Valid</v>
      </c>
      <c r="I3">
        <f>IF(COUNTIF(items_clean!$A:$A, D3)&gt;0, 1, 0)</f>
        <v>1</v>
      </c>
    </row>
    <row r="4" spans="1:9" x14ac:dyDescent="0.3">
      <c r="A4" s="1">
        <v>3</v>
      </c>
      <c r="B4" s="1" t="s">
        <v>150</v>
      </c>
      <c r="C4" s="4">
        <v>45334.301724537036</v>
      </c>
      <c r="D4" s="1" t="s">
        <v>111</v>
      </c>
      <c r="E4" s="3">
        <v>1</v>
      </c>
      <c r="F4" s="1" t="s">
        <v>151</v>
      </c>
      <c r="G4" s="1" t="s">
        <v>146</v>
      </c>
      <c r="H4" s="1" t="str">
        <f>IF(COUNTIF(items_clean!$A:$A, D4)&gt;0, "Valid", "Invalid")</f>
        <v>Valid</v>
      </c>
      <c r="I4">
        <f>IF(COUNTIF(items_clean!$A:$A, D4)&gt;0, 1, 0)</f>
        <v>1</v>
      </c>
    </row>
    <row r="5" spans="1:9" x14ac:dyDescent="0.3">
      <c r="A5" s="1">
        <v>4</v>
      </c>
      <c r="B5" s="1" t="s">
        <v>152</v>
      </c>
      <c r="C5" s="4">
        <v>45334.304618055554</v>
      </c>
      <c r="D5" s="1" t="s">
        <v>129</v>
      </c>
      <c r="E5" s="3">
        <v>1</v>
      </c>
      <c r="F5" s="1" t="s">
        <v>153</v>
      </c>
      <c r="G5" s="1" t="s">
        <v>146</v>
      </c>
      <c r="H5" s="1" t="str">
        <f>IF(COUNTIF(items_clean!$A:$A, D5)&gt;0, "Valid", "Invalid")</f>
        <v>Valid</v>
      </c>
      <c r="I5">
        <f>IF(COUNTIF(items_clean!$A:$A, D5)&gt;0, 1, 0)</f>
        <v>1</v>
      </c>
    </row>
    <row r="6" spans="1:9" x14ac:dyDescent="0.3">
      <c r="A6" s="1">
        <v>5</v>
      </c>
      <c r="B6" s="1" t="s">
        <v>154</v>
      </c>
      <c r="C6" s="4">
        <v>45334.308148148149</v>
      </c>
      <c r="D6" s="1" t="s">
        <v>138</v>
      </c>
      <c r="E6" s="3">
        <v>1</v>
      </c>
      <c r="F6" s="1" t="s">
        <v>155</v>
      </c>
      <c r="G6" s="1" t="s">
        <v>146</v>
      </c>
      <c r="H6" s="1" t="str">
        <f>IF(COUNTIF(items_clean!$A:$A, D6)&gt;0, "Valid", "Invalid")</f>
        <v>Valid</v>
      </c>
      <c r="I6">
        <f>IF(COUNTIF(items_clean!$A:$A, D6)&gt;0, 1, 0)</f>
        <v>1</v>
      </c>
    </row>
    <row r="7" spans="1:9" x14ac:dyDescent="0.3">
      <c r="A7" s="1">
        <v>6</v>
      </c>
      <c r="B7" s="1" t="s">
        <v>156</v>
      </c>
      <c r="C7" s="4">
        <v>45334.311342592591</v>
      </c>
      <c r="D7" s="1" t="s">
        <v>96</v>
      </c>
      <c r="E7" s="3">
        <v>1</v>
      </c>
      <c r="F7" s="1" t="s">
        <v>157</v>
      </c>
      <c r="G7" s="1" t="s">
        <v>149</v>
      </c>
      <c r="H7" s="1" t="str">
        <f>IF(COUNTIF(items_clean!$A:$A, D7)&gt;0, "Valid", "Invalid")</f>
        <v>Valid</v>
      </c>
      <c r="I7">
        <f>IF(COUNTIF(items_clean!$A:$A, D7)&gt;0, 1, 0)</f>
        <v>1</v>
      </c>
    </row>
    <row r="8" spans="1:9" x14ac:dyDescent="0.3">
      <c r="A8" s="1">
        <v>7</v>
      </c>
      <c r="B8" s="1" t="s">
        <v>156</v>
      </c>
      <c r="C8" s="4">
        <v>45334.311342592591</v>
      </c>
      <c r="D8" s="1" t="s">
        <v>125</v>
      </c>
      <c r="E8" s="3">
        <v>1</v>
      </c>
      <c r="F8" s="1" t="s">
        <v>157</v>
      </c>
      <c r="G8" s="1" t="s">
        <v>149</v>
      </c>
      <c r="H8" s="1" t="str">
        <f>IF(COUNTIF(items_clean!$A:$A, D8)&gt;0, "Valid", "Invalid")</f>
        <v>Valid</v>
      </c>
      <c r="I8">
        <f>IF(COUNTIF(items_clean!$A:$A, D8)&gt;0, 1, 0)</f>
        <v>1</v>
      </c>
    </row>
    <row r="9" spans="1:9" x14ac:dyDescent="0.3">
      <c r="A9" s="1">
        <v>8</v>
      </c>
      <c r="B9" s="1" t="s">
        <v>158</v>
      </c>
      <c r="C9" s="4">
        <v>45334.315254629626</v>
      </c>
      <c r="D9" s="1" t="s">
        <v>105</v>
      </c>
      <c r="E9" s="3">
        <v>1</v>
      </c>
      <c r="F9" s="1" t="s">
        <v>159</v>
      </c>
      <c r="G9" s="1" t="s">
        <v>146</v>
      </c>
      <c r="H9" s="1" t="str">
        <f>IF(COUNTIF(items_clean!$A:$A, D9)&gt;0, "Valid", "Invalid")</f>
        <v>Valid</v>
      </c>
      <c r="I9">
        <f>IF(COUNTIF(items_clean!$A:$A, D9)&gt;0, 1, 0)</f>
        <v>1</v>
      </c>
    </row>
    <row r="10" spans="1:9" x14ac:dyDescent="0.3">
      <c r="A10" s="1">
        <v>9</v>
      </c>
      <c r="B10" s="1" t="s">
        <v>158</v>
      </c>
      <c r="C10" s="4">
        <v>45334.315254629626</v>
      </c>
      <c r="D10" s="1" t="s">
        <v>131</v>
      </c>
      <c r="E10" s="3">
        <v>1</v>
      </c>
      <c r="F10" s="1" t="s">
        <v>159</v>
      </c>
      <c r="G10" s="1" t="s">
        <v>778</v>
      </c>
      <c r="H10" s="1" t="str">
        <f>IF(COUNTIF(items_clean!$A:$A, D10)&gt;0, "Valid", "Invalid")</f>
        <v>Valid</v>
      </c>
      <c r="I10">
        <f>IF(COUNTIF(items_clean!$A:$A, D10)&gt;0, 1, 0)</f>
        <v>1</v>
      </c>
    </row>
    <row r="11" spans="1:9" x14ac:dyDescent="0.3">
      <c r="A11" s="1">
        <v>10</v>
      </c>
      <c r="B11" s="1" t="s">
        <v>160</v>
      </c>
      <c r="C11" s="4">
        <v>45334.318773148145</v>
      </c>
      <c r="D11" s="1" t="s">
        <v>108</v>
      </c>
      <c r="E11" s="3">
        <v>1</v>
      </c>
      <c r="F11" s="1" t="s">
        <v>161</v>
      </c>
      <c r="G11" s="1" t="s">
        <v>149</v>
      </c>
      <c r="H11" s="1" t="str">
        <f>IF(COUNTIF(items_clean!$A:$A, D11)&gt;0, "Valid", "Invalid")</f>
        <v>Valid</v>
      </c>
      <c r="I11">
        <f>IF(COUNTIF(items_clean!$A:$A, D11)&gt;0, 1, 0)</f>
        <v>1</v>
      </c>
    </row>
    <row r="12" spans="1:9" x14ac:dyDescent="0.3">
      <c r="A12" s="1">
        <v>11</v>
      </c>
      <c r="B12" s="1" t="s">
        <v>160</v>
      </c>
      <c r="C12" s="4">
        <v>45334.318761574075</v>
      </c>
      <c r="D12" s="1" t="s">
        <v>128</v>
      </c>
      <c r="E12" s="3">
        <v>1</v>
      </c>
      <c r="F12" s="1" t="s">
        <v>161</v>
      </c>
      <c r="G12" s="1" t="s">
        <v>778</v>
      </c>
      <c r="H12" s="1" t="str">
        <f>IF(COUNTIF(items_clean!$A:$A, D12)&gt;0, "Valid", "Invalid")</f>
        <v>Valid</v>
      </c>
      <c r="I12">
        <f>IF(COUNTIF(items_clean!$A:$A, D12)&gt;0, 1, 0)</f>
        <v>1</v>
      </c>
    </row>
    <row r="13" spans="1:9" x14ac:dyDescent="0.3">
      <c r="A13" s="1">
        <v>12</v>
      </c>
      <c r="B13" s="1" t="s">
        <v>162</v>
      </c>
      <c r="C13" s="4">
        <v>45334.322245370371</v>
      </c>
      <c r="D13" s="1" t="s">
        <v>135</v>
      </c>
      <c r="E13" s="3">
        <v>1</v>
      </c>
      <c r="F13" s="1" t="s">
        <v>163</v>
      </c>
      <c r="G13" s="1" t="s">
        <v>146</v>
      </c>
      <c r="H13" s="1" t="str">
        <f>IF(COUNTIF(items_clean!$A:$A, D13)&gt;0, "Valid", "Invalid")</f>
        <v>Valid</v>
      </c>
      <c r="I13">
        <f>IF(COUNTIF(items_clean!$A:$A, D13)&gt;0, 1, 0)</f>
        <v>1</v>
      </c>
    </row>
    <row r="14" spans="1:9" x14ac:dyDescent="0.3">
      <c r="A14" s="1">
        <v>13</v>
      </c>
      <c r="B14" s="1" t="s">
        <v>162</v>
      </c>
      <c r="C14" s="4">
        <v>45334.322256944448</v>
      </c>
      <c r="D14" s="1" t="s">
        <v>116</v>
      </c>
      <c r="E14" s="3">
        <v>1</v>
      </c>
      <c r="F14" s="1" t="s">
        <v>163</v>
      </c>
      <c r="G14" s="1" t="s">
        <v>778</v>
      </c>
      <c r="H14" s="1" t="str">
        <f>IF(COUNTIF(items_clean!$A:$A, D14)&gt;0, "Valid", "Invalid")</f>
        <v>Valid</v>
      </c>
      <c r="I14">
        <f>IF(COUNTIF(items_clean!$A:$A, D14)&gt;0, 1, 0)</f>
        <v>1</v>
      </c>
    </row>
    <row r="15" spans="1:9" x14ac:dyDescent="0.3">
      <c r="A15" s="1">
        <v>14</v>
      </c>
      <c r="B15" s="1" t="s">
        <v>164</v>
      </c>
      <c r="C15" s="4">
        <v>45334.325740740744</v>
      </c>
      <c r="D15" s="1" t="s">
        <v>138</v>
      </c>
      <c r="E15" s="3">
        <v>1</v>
      </c>
      <c r="F15" s="1" t="s">
        <v>165</v>
      </c>
      <c r="G15" s="1" t="s">
        <v>146</v>
      </c>
      <c r="H15" s="1" t="str">
        <f>IF(COUNTIF(items_clean!$A:$A, D15)&gt;0, "Valid", "Invalid")</f>
        <v>Valid</v>
      </c>
      <c r="I15">
        <f>IF(COUNTIF(items_clean!$A:$A, D15)&gt;0, 1, 0)</f>
        <v>1</v>
      </c>
    </row>
    <row r="16" spans="1:9" x14ac:dyDescent="0.3">
      <c r="A16" s="1">
        <v>15</v>
      </c>
      <c r="B16" s="1" t="s">
        <v>164</v>
      </c>
      <c r="C16" s="4">
        <v>45334.325752314813</v>
      </c>
      <c r="D16" s="1" t="s">
        <v>121</v>
      </c>
      <c r="E16" s="3">
        <v>1</v>
      </c>
      <c r="F16" s="1" t="s">
        <v>165</v>
      </c>
      <c r="G16" s="1" t="s">
        <v>778</v>
      </c>
      <c r="H16" s="1" t="str">
        <f>IF(COUNTIF(items_clean!$A:$A, D16)&gt;0, "Valid", "Invalid")</f>
        <v>Valid</v>
      </c>
      <c r="I16">
        <f>IF(COUNTIF(items_clean!$A:$A, D16)&gt;0, 1, 0)</f>
        <v>1</v>
      </c>
    </row>
    <row r="17" spans="1:9" x14ac:dyDescent="0.3">
      <c r="A17" s="1">
        <v>16</v>
      </c>
      <c r="B17" s="1" t="s">
        <v>166</v>
      </c>
      <c r="C17" s="4">
        <v>45334.328541666669</v>
      </c>
      <c r="D17" s="1" t="s">
        <v>102</v>
      </c>
      <c r="E17" s="3">
        <v>1</v>
      </c>
      <c r="F17" s="1" t="s">
        <v>167</v>
      </c>
      <c r="G17" s="1" t="s">
        <v>146</v>
      </c>
      <c r="H17" s="1" t="str">
        <f>IF(COUNTIF(items_clean!$A:$A, D17)&gt;0, "Valid", "Invalid")</f>
        <v>Valid</v>
      </c>
      <c r="I17">
        <f>IF(COUNTIF(items_clean!$A:$A, D17)&gt;0, 1, 0)</f>
        <v>1</v>
      </c>
    </row>
    <row r="18" spans="1:9" x14ac:dyDescent="0.3">
      <c r="A18" s="1">
        <v>17</v>
      </c>
      <c r="B18" s="1" t="s">
        <v>168</v>
      </c>
      <c r="C18" s="4">
        <v>45334.332025462965</v>
      </c>
      <c r="D18" s="1" t="s">
        <v>110</v>
      </c>
      <c r="E18" s="3">
        <v>1</v>
      </c>
      <c r="F18" s="1" t="s">
        <v>169</v>
      </c>
      <c r="G18" s="1" t="s">
        <v>146</v>
      </c>
      <c r="H18" s="1" t="str">
        <f>IF(COUNTIF(items_clean!$A:$A, D18)&gt;0, "Valid", "Invalid")</f>
        <v>Valid</v>
      </c>
      <c r="I18">
        <f>IF(COUNTIF(items_clean!$A:$A, D18)&gt;0, 1, 0)</f>
        <v>1</v>
      </c>
    </row>
    <row r="19" spans="1:9" x14ac:dyDescent="0.3">
      <c r="A19" s="1">
        <v>18</v>
      </c>
      <c r="B19" s="1" t="s">
        <v>170</v>
      </c>
      <c r="C19" s="4">
        <v>45334.335509259261</v>
      </c>
      <c r="D19" s="1" t="s">
        <v>113</v>
      </c>
      <c r="E19" s="3">
        <v>1</v>
      </c>
      <c r="F19" s="1" t="s">
        <v>171</v>
      </c>
      <c r="G19" s="1" t="s">
        <v>149</v>
      </c>
      <c r="H19" s="1" t="str">
        <f>IF(COUNTIF(items_clean!$A:$A, D19)&gt;0, "Valid", "Invalid")</f>
        <v>Valid</v>
      </c>
      <c r="I19">
        <f>IF(COUNTIF(items_clean!$A:$A, D19)&gt;0, 1, 0)</f>
        <v>1</v>
      </c>
    </row>
    <row r="20" spans="1:9" x14ac:dyDescent="0.3">
      <c r="A20" s="1">
        <v>19</v>
      </c>
      <c r="B20" s="1" t="s">
        <v>170</v>
      </c>
      <c r="C20" s="4">
        <v>45334.335520833331</v>
      </c>
      <c r="D20" s="1" t="s">
        <v>132</v>
      </c>
      <c r="E20" s="3">
        <v>1</v>
      </c>
      <c r="F20" s="1" t="s">
        <v>171</v>
      </c>
      <c r="G20" s="1" t="s">
        <v>778</v>
      </c>
      <c r="H20" s="1" t="str">
        <f>IF(COUNTIF(items_clean!$A:$A, D20)&gt;0, "Valid", "Invalid")</f>
        <v>Valid</v>
      </c>
      <c r="I20">
        <f>IF(COUNTIF(items_clean!$A:$A, D20)&gt;0, 1, 0)</f>
        <v>1</v>
      </c>
    </row>
    <row r="21" spans="1:9" x14ac:dyDescent="0.3">
      <c r="A21" s="1">
        <v>20</v>
      </c>
      <c r="B21" s="1" t="s">
        <v>172</v>
      </c>
      <c r="C21" s="4">
        <v>45334.339004629626</v>
      </c>
      <c r="D21" s="1" t="s">
        <v>118</v>
      </c>
      <c r="E21" s="3">
        <v>1</v>
      </c>
      <c r="F21" s="1" t="s">
        <v>173</v>
      </c>
      <c r="G21" s="1" t="s">
        <v>149</v>
      </c>
      <c r="H21" s="1" t="str">
        <f>IF(COUNTIF(items_clean!$A:$A, D21)&gt;0, "Valid", "Invalid")</f>
        <v>Valid</v>
      </c>
      <c r="I21">
        <f>IF(COUNTIF(items_clean!$A:$A, D21)&gt;0, 1, 0)</f>
        <v>1</v>
      </c>
    </row>
    <row r="22" spans="1:9" x14ac:dyDescent="0.3">
      <c r="A22" s="1">
        <v>21</v>
      </c>
      <c r="B22" s="1" t="s">
        <v>172</v>
      </c>
      <c r="C22" s="4">
        <v>45334.339016203703</v>
      </c>
      <c r="D22" s="1" t="s">
        <v>134</v>
      </c>
      <c r="E22" s="3">
        <v>1</v>
      </c>
      <c r="F22" s="1" t="s">
        <v>173</v>
      </c>
      <c r="G22" s="1" t="s">
        <v>778</v>
      </c>
      <c r="H22" s="1" t="str">
        <f>IF(COUNTIF(items_clean!$A:$A, D22)&gt;0, "Valid", "Invalid")</f>
        <v>Valid</v>
      </c>
      <c r="I22">
        <f>IF(COUNTIF(items_clean!$A:$A, D22)&gt;0, 1, 0)</f>
        <v>1</v>
      </c>
    </row>
    <row r="23" spans="1:9" x14ac:dyDescent="0.3">
      <c r="A23" s="1">
        <v>22</v>
      </c>
      <c r="B23" s="1" t="s">
        <v>174</v>
      </c>
      <c r="C23" s="4">
        <v>45334.341805555552</v>
      </c>
      <c r="D23" s="1" t="s">
        <v>104</v>
      </c>
      <c r="E23" s="3">
        <v>1</v>
      </c>
      <c r="F23" s="1" t="s">
        <v>175</v>
      </c>
      <c r="G23" s="1" t="s">
        <v>146</v>
      </c>
      <c r="H23" s="1" t="str">
        <f>IF(COUNTIF(items_clean!$A:$A, D23)&gt;0, "Valid", "Invalid")</f>
        <v>Valid</v>
      </c>
      <c r="I23">
        <f>IF(COUNTIF(items_clean!$A:$A, D23)&gt;0, 1, 0)</f>
        <v>1</v>
      </c>
    </row>
    <row r="24" spans="1:9" x14ac:dyDescent="0.3">
      <c r="A24" s="1">
        <v>23</v>
      </c>
      <c r="B24" s="1" t="s">
        <v>176</v>
      </c>
      <c r="C24" s="4">
        <v>45334.345381944448</v>
      </c>
      <c r="D24" s="1" t="s">
        <v>100</v>
      </c>
      <c r="E24" s="3">
        <v>1</v>
      </c>
      <c r="F24" s="1" t="s">
        <v>177</v>
      </c>
      <c r="G24" s="1" t="s">
        <v>146</v>
      </c>
      <c r="H24" s="1" t="str">
        <f>IF(COUNTIF(items_clean!$A:$A, D24)&gt;0, "Valid", "Invalid")</f>
        <v>Valid</v>
      </c>
      <c r="I24">
        <f>IF(COUNTIF(items_clean!$A:$A, D24)&gt;0, 1, 0)</f>
        <v>1</v>
      </c>
    </row>
    <row r="25" spans="1:9" x14ac:dyDescent="0.3">
      <c r="A25" s="1">
        <v>24</v>
      </c>
      <c r="B25" s="1" t="s">
        <v>178</v>
      </c>
      <c r="C25" s="4">
        <v>45334.349004629628</v>
      </c>
      <c r="D25" s="1" t="s">
        <v>96</v>
      </c>
      <c r="E25" s="3">
        <v>1</v>
      </c>
      <c r="F25" s="1" t="s">
        <v>179</v>
      </c>
      <c r="G25" s="1" t="s">
        <v>149</v>
      </c>
      <c r="H25" s="1" t="str">
        <f>IF(COUNTIF(items_clean!$A:$A, D25)&gt;0, "Valid", "Invalid")</f>
        <v>Valid</v>
      </c>
      <c r="I25">
        <f>IF(COUNTIF(items_clean!$A:$A, D25)&gt;0, 1, 0)</f>
        <v>1</v>
      </c>
    </row>
    <row r="26" spans="1:9" x14ac:dyDescent="0.3">
      <c r="A26" s="1">
        <v>25</v>
      </c>
      <c r="B26" s="1" t="s">
        <v>180</v>
      </c>
      <c r="C26" s="4">
        <v>45334.351469907408</v>
      </c>
      <c r="D26" s="1" t="s">
        <v>121</v>
      </c>
      <c r="E26" s="3">
        <v>1</v>
      </c>
      <c r="F26" s="1" t="s">
        <v>148</v>
      </c>
      <c r="G26" s="1" t="s">
        <v>146</v>
      </c>
      <c r="H26" s="1" t="str">
        <f>IF(COUNTIF(items_clean!$A:$A, D26)&gt;0, "Valid", "Invalid")</f>
        <v>Valid</v>
      </c>
      <c r="I26">
        <f>IF(COUNTIF(items_clean!$A:$A, D26)&gt;0, 1, 0)</f>
        <v>1</v>
      </c>
    </row>
    <row r="27" spans="1:9" x14ac:dyDescent="0.3">
      <c r="A27" s="1">
        <v>26</v>
      </c>
      <c r="B27" s="1" t="s">
        <v>181</v>
      </c>
      <c r="C27" s="4">
        <v>45334.355381944442</v>
      </c>
      <c r="D27" s="1" t="s">
        <v>116</v>
      </c>
      <c r="E27" s="3">
        <v>1</v>
      </c>
      <c r="F27" s="1" t="s">
        <v>182</v>
      </c>
      <c r="G27" s="1" t="s">
        <v>149</v>
      </c>
      <c r="H27" s="1" t="str">
        <f>IF(COUNTIF(items_clean!$A:$A, D27)&gt;0, "Valid", "Invalid")</f>
        <v>Valid</v>
      </c>
      <c r="I27">
        <f>IF(COUNTIF(items_clean!$A:$A, D27)&gt;0, 1, 0)</f>
        <v>1</v>
      </c>
    </row>
    <row r="28" spans="1:9" x14ac:dyDescent="0.3">
      <c r="A28" s="1">
        <v>27</v>
      </c>
      <c r="B28" s="1" t="s">
        <v>183</v>
      </c>
      <c r="C28" s="4">
        <v>45334.359016203707</v>
      </c>
      <c r="D28" s="1" t="s">
        <v>126</v>
      </c>
      <c r="E28" s="3">
        <v>1</v>
      </c>
      <c r="F28" s="1" t="s">
        <v>184</v>
      </c>
      <c r="G28" s="1" t="s">
        <v>146</v>
      </c>
      <c r="H28" s="1" t="str">
        <f>IF(COUNTIF(items_clean!$A:$A, D28)&gt;0, "Valid", "Invalid")</f>
        <v>Valid</v>
      </c>
      <c r="I28">
        <f>IF(COUNTIF(items_clean!$A:$A, D28)&gt;0, 1, 0)</f>
        <v>1</v>
      </c>
    </row>
    <row r="29" spans="1:9" x14ac:dyDescent="0.3">
      <c r="A29" s="1">
        <v>28</v>
      </c>
      <c r="B29" s="1" t="s">
        <v>183</v>
      </c>
      <c r="C29" s="4">
        <v>45334.359016203707</v>
      </c>
      <c r="D29" s="1" t="s">
        <v>131</v>
      </c>
      <c r="E29" s="3">
        <v>1</v>
      </c>
      <c r="F29" s="1" t="s">
        <v>184</v>
      </c>
      <c r="G29" s="1" t="s">
        <v>778</v>
      </c>
      <c r="H29" s="1" t="str">
        <f>IF(COUNTIF(items_clean!$A:$A, D29)&gt;0, "Valid", "Invalid")</f>
        <v>Valid</v>
      </c>
      <c r="I29">
        <f>IF(COUNTIF(items_clean!$A:$A, D29)&gt;0, 1, 0)</f>
        <v>1</v>
      </c>
    </row>
    <row r="30" spans="1:9" x14ac:dyDescent="0.3">
      <c r="A30" s="1">
        <v>29</v>
      </c>
      <c r="B30" s="1" t="s">
        <v>185</v>
      </c>
      <c r="C30" s="4">
        <v>45334.362245370372</v>
      </c>
      <c r="D30" s="1" t="s">
        <v>105</v>
      </c>
      <c r="E30" s="3">
        <v>1</v>
      </c>
      <c r="F30" s="1" t="s">
        <v>157</v>
      </c>
      <c r="G30" s="1" t="s">
        <v>146</v>
      </c>
      <c r="H30" s="1" t="str">
        <f>IF(COUNTIF(items_clean!$A:$A, D30)&gt;0, "Valid", "Invalid")</f>
        <v>Valid</v>
      </c>
      <c r="I30">
        <f>IF(COUNTIF(items_clean!$A:$A, D30)&gt;0, 1, 0)</f>
        <v>1</v>
      </c>
    </row>
    <row r="31" spans="1:9" x14ac:dyDescent="0.3">
      <c r="A31" s="1">
        <v>30</v>
      </c>
      <c r="B31" s="1" t="s">
        <v>186</v>
      </c>
      <c r="C31" s="4">
        <v>45334.364606481482</v>
      </c>
      <c r="D31" s="1" t="s">
        <v>108</v>
      </c>
      <c r="E31" s="3">
        <v>1</v>
      </c>
      <c r="F31" s="1" t="s">
        <v>187</v>
      </c>
      <c r="G31" s="1" t="s">
        <v>149</v>
      </c>
      <c r="H31" s="1" t="str">
        <f>IF(COUNTIF(items_clean!$A:$A, D31)&gt;0, "Valid", "Invalid")</f>
        <v>Valid</v>
      </c>
      <c r="I31">
        <f>IF(COUNTIF(items_clean!$A:$A, D31)&gt;0, 1, 0)</f>
        <v>1</v>
      </c>
    </row>
    <row r="32" spans="1:9" x14ac:dyDescent="0.3">
      <c r="A32" s="1">
        <v>31</v>
      </c>
      <c r="B32" s="1" t="s">
        <v>186</v>
      </c>
      <c r="C32" s="4">
        <v>45334.364861111113</v>
      </c>
      <c r="D32" s="1" t="s">
        <v>121</v>
      </c>
      <c r="E32" s="3">
        <v>1</v>
      </c>
      <c r="F32" s="1" t="s">
        <v>165</v>
      </c>
      <c r="G32" s="1" t="s">
        <v>778</v>
      </c>
      <c r="H32" s="1" t="str">
        <f>IF(COUNTIF(items_clean!$A:$A, D32)&gt;0, "Valid", "Invalid")</f>
        <v>Valid</v>
      </c>
      <c r="I32">
        <f>IF(COUNTIF(items_clean!$A:$A, D32)&gt;0, 1, 0)</f>
        <v>1</v>
      </c>
    </row>
    <row r="33" spans="1:9" x14ac:dyDescent="0.3">
      <c r="A33" s="1">
        <v>32</v>
      </c>
      <c r="B33" s="1" t="s">
        <v>188</v>
      </c>
      <c r="C33" s="4">
        <v>45334.36818287037</v>
      </c>
      <c r="D33" s="1" t="s">
        <v>111</v>
      </c>
      <c r="E33" s="3">
        <v>1</v>
      </c>
      <c r="F33" s="1" t="s">
        <v>145</v>
      </c>
      <c r="G33" s="1" t="s">
        <v>146</v>
      </c>
      <c r="H33" s="1" t="str">
        <f>IF(COUNTIF(items_clean!$A:$A, D33)&gt;0, "Valid", "Invalid")</f>
        <v>Valid</v>
      </c>
      <c r="I33">
        <f>IF(COUNTIF(items_clean!$A:$A, D33)&gt;0, 1, 0)</f>
        <v>1</v>
      </c>
    </row>
    <row r="34" spans="1:9" x14ac:dyDescent="0.3">
      <c r="A34" s="1">
        <v>33</v>
      </c>
      <c r="B34" s="1" t="s">
        <v>189</v>
      </c>
      <c r="C34" s="4">
        <v>45334.372141203705</v>
      </c>
      <c r="D34" s="1" t="s">
        <v>125</v>
      </c>
      <c r="E34" s="3">
        <v>1</v>
      </c>
      <c r="F34" s="1" t="s">
        <v>148</v>
      </c>
      <c r="G34" s="1" t="s">
        <v>146</v>
      </c>
      <c r="H34" s="1" t="str">
        <f>IF(COUNTIF(items_clean!$A:$A, D34)&gt;0, "Valid", "Invalid")</f>
        <v>Valid</v>
      </c>
      <c r="I34">
        <f>IF(COUNTIF(items_clean!$A:$A, D34)&gt;0, 1, 0)</f>
        <v>1</v>
      </c>
    </row>
    <row r="35" spans="1:9" x14ac:dyDescent="0.3">
      <c r="A35" s="1">
        <v>34</v>
      </c>
      <c r="B35" s="1" t="s">
        <v>190</v>
      </c>
      <c r="C35" s="4">
        <v>45334.375532407408</v>
      </c>
      <c r="D35" s="1" t="s">
        <v>108</v>
      </c>
      <c r="E35" s="3">
        <v>1</v>
      </c>
      <c r="F35" s="1" t="s">
        <v>151</v>
      </c>
      <c r="G35" s="1" t="s">
        <v>146</v>
      </c>
      <c r="H35" s="1" t="str">
        <f>IF(COUNTIF(items_clean!$A:$A, D35)&gt;0, "Valid", "Invalid")</f>
        <v>Valid</v>
      </c>
      <c r="I35">
        <f>IF(COUNTIF(items_clean!$A:$A, D35)&gt;0, 1, 0)</f>
        <v>1</v>
      </c>
    </row>
    <row r="36" spans="1:9" x14ac:dyDescent="0.3">
      <c r="A36" s="1">
        <v>35</v>
      </c>
      <c r="B36" s="1" t="s">
        <v>191</v>
      </c>
      <c r="C36" s="4">
        <v>45334.378067129626</v>
      </c>
      <c r="D36" s="1" t="s">
        <v>129</v>
      </c>
      <c r="E36" s="3">
        <v>1</v>
      </c>
      <c r="F36" s="1" t="s">
        <v>153</v>
      </c>
      <c r="G36" s="1" t="s">
        <v>149</v>
      </c>
      <c r="H36" s="1" t="str">
        <f>IF(COUNTIF(items_clean!$A:$A, D36)&gt;0, "Valid", "Invalid")</f>
        <v>Valid</v>
      </c>
      <c r="I36">
        <f>IF(COUNTIF(items_clean!$A:$A, D36)&gt;0, 1, 0)</f>
        <v>1</v>
      </c>
    </row>
    <row r="37" spans="1:9" x14ac:dyDescent="0.3">
      <c r="A37" s="1">
        <v>36</v>
      </c>
      <c r="B37" s="1" t="s">
        <v>192</v>
      </c>
      <c r="C37" s="4">
        <v>45334.381793981483</v>
      </c>
      <c r="D37" s="1" t="s">
        <v>113</v>
      </c>
      <c r="E37" s="3">
        <v>1</v>
      </c>
      <c r="F37" s="1" t="s">
        <v>155</v>
      </c>
      <c r="G37" s="1" t="s">
        <v>146</v>
      </c>
      <c r="H37" s="1" t="str">
        <f>IF(COUNTIF(items_clean!$A:$A, D37)&gt;0, "Valid", "Invalid")</f>
        <v>Valid</v>
      </c>
      <c r="I37">
        <f>IF(COUNTIF(items_clean!$A:$A, D37)&gt;0, 1, 0)</f>
        <v>1</v>
      </c>
    </row>
    <row r="38" spans="1:9" x14ac:dyDescent="0.3">
      <c r="A38" s="1">
        <v>37</v>
      </c>
      <c r="B38" s="1" t="s">
        <v>193</v>
      </c>
      <c r="C38" s="4">
        <v>45334.385092592594</v>
      </c>
      <c r="D38" s="1" t="s">
        <v>96</v>
      </c>
      <c r="E38" s="3">
        <v>1</v>
      </c>
      <c r="F38" s="1" t="s">
        <v>157</v>
      </c>
      <c r="G38" s="1" t="s">
        <v>149</v>
      </c>
      <c r="H38" s="1" t="str">
        <f>IF(COUNTIF(items_clean!$A:$A, D38)&gt;0, "Valid", "Invalid")</f>
        <v>Valid</v>
      </c>
      <c r="I38">
        <f>IF(COUNTIF(items_clean!$A:$A, D38)&gt;0, 1, 0)</f>
        <v>1</v>
      </c>
    </row>
    <row r="39" spans="1:9" x14ac:dyDescent="0.3">
      <c r="A39" s="1">
        <v>38</v>
      </c>
      <c r="B39" s="1" t="s">
        <v>193</v>
      </c>
      <c r="C39" s="4">
        <v>45334.385092592594</v>
      </c>
      <c r="D39" s="1" t="s">
        <v>125</v>
      </c>
      <c r="E39" s="3">
        <v>1</v>
      </c>
      <c r="F39" s="1" t="s">
        <v>157</v>
      </c>
      <c r="G39" s="1" t="s">
        <v>778</v>
      </c>
      <c r="H39" s="1" t="str">
        <f>IF(COUNTIF(items_clean!$A:$A, D39)&gt;0, "Valid", "Invalid")</f>
        <v>Valid</v>
      </c>
      <c r="I39">
        <f>IF(COUNTIF(items_clean!$A:$A, D39)&gt;0, 1, 0)</f>
        <v>1</v>
      </c>
    </row>
    <row r="40" spans="1:9" x14ac:dyDescent="0.3">
      <c r="A40" s="1">
        <v>39</v>
      </c>
      <c r="B40" s="1" t="s">
        <v>194</v>
      </c>
      <c r="C40" s="4">
        <v>45334.388321759259</v>
      </c>
      <c r="D40" s="1" t="s">
        <v>105</v>
      </c>
      <c r="E40" s="3">
        <v>1</v>
      </c>
      <c r="F40" s="1" t="s">
        <v>159</v>
      </c>
      <c r="G40" s="1" t="s">
        <v>149</v>
      </c>
      <c r="H40" s="1" t="str">
        <f>IF(COUNTIF(items_clean!$A:$A, D40)&gt;0, "Valid", "Invalid")</f>
        <v>Valid</v>
      </c>
      <c r="I40">
        <f>IF(COUNTIF(items_clean!$A:$A, D40)&gt;0, 1, 0)</f>
        <v>1</v>
      </c>
    </row>
    <row r="41" spans="1:9" x14ac:dyDescent="0.3">
      <c r="A41" s="1">
        <v>40</v>
      </c>
      <c r="B41" s="1" t="s">
        <v>194</v>
      </c>
      <c r="C41" s="4">
        <v>45334.388321759259</v>
      </c>
      <c r="D41" s="1" t="s">
        <v>131</v>
      </c>
      <c r="E41" s="3">
        <v>1</v>
      </c>
      <c r="F41" s="1" t="s">
        <v>159</v>
      </c>
      <c r="G41" s="1" t="s">
        <v>778</v>
      </c>
      <c r="H41" s="1" t="str">
        <f>IF(COUNTIF(items_clean!$A:$A, D41)&gt;0, "Valid", "Invalid")</f>
        <v>Valid</v>
      </c>
      <c r="I41">
        <f>IF(COUNTIF(items_clean!$A:$A, D41)&gt;0, 1, 0)</f>
        <v>1</v>
      </c>
    </row>
    <row r="42" spans="1:9" x14ac:dyDescent="0.3">
      <c r="A42" s="1">
        <v>41</v>
      </c>
      <c r="B42" s="1" t="s">
        <v>194</v>
      </c>
      <c r="C42" s="4">
        <v>45334.388321759259</v>
      </c>
      <c r="D42" s="1" t="s">
        <v>118</v>
      </c>
      <c r="E42" s="3">
        <v>1</v>
      </c>
      <c r="F42" s="1" t="s">
        <v>159</v>
      </c>
      <c r="G42" s="1" t="s">
        <v>778</v>
      </c>
      <c r="H42" s="1" t="str">
        <f>IF(COUNTIF(items_clean!$A:$A, D42)&gt;0, "Valid", "Invalid")</f>
        <v>Valid</v>
      </c>
      <c r="I42">
        <f>IF(COUNTIF(items_clean!$A:$A, D42)&gt;0, 1, 0)</f>
        <v>1</v>
      </c>
    </row>
    <row r="43" spans="1:9" x14ac:dyDescent="0.3">
      <c r="A43" s="1">
        <v>42</v>
      </c>
      <c r="B43" s="1" t="s">
        <v>195</v>
      </c>
      <c r="C43" s="4">
        <v>45334.399375000001</v>
      </c>
      <c r="D43" s="1" t="s">
        <v>104</v>
      </c>
      <c r="E43" s="3">
        <v>1</v>
      </c>
      <c r="F43" s="1" t="s">
        <v>148</v>
      </c>
      <c r="G43" s="1" t="s">
        <v>146</v>
      </c>
      <c r="H43" s="1" t="str">
        <f>IF(COUNTIF(items_clean!$A:$A, D43)&gt;0, "Valid", "Invalid")</f>
        <v>Valid</v>
      </c>
      <c r="I43">
        <f>IF(COUNTIF(items_clean!$A:$A, D43)&gt;0, 1, 0)</f>
        <v>1</v>
      </c>
    </row>
    <row r="44" spans="1:9" x14ac:dyDescent="0.3">
      <c r="A44" s="1">
        <v>43</v>
      </c>
      <c r="B44" s="1" t="s">
        <v>196</v>
      </c>
      <c r="C44" s="4">
        <v>45334.408784722225</v>
      </c>
      <c r="D44" s="1" t="s">
        <v>132</v>
      </c>
      <c r="E44" s="3">
        <v>1</v>
      </c>
      <c r="F44" s="1" t="s">
        <v>179</v>
      </c>
      <c r="G44" s="1" t="s">
        <v>146</v>
      </c>
      <c r="H44" s="1" t="str">
        <f>IF(COUNTIF(items_clean!$A:$A, D44)&gt;0, "Valid", "Invalid")</f>
        <v>Valid</v>
      </c>
      <c r="I44">
        <f>IF(COUNTIF(items_clean!$A:$A, D44)&gt;0, 1, 0)</f>
        <v>1</v>
      </c>
    </row>
    <row r="45" spans="1:9" x14ac:dyDescent="0.3">
      <c r="A45" s="1">
        <v>44</v>
      </c>
      <c r="B45" s="1" t="s">
        <v>197</v>
      </c>
      <c r="C45" s="4">
        <v>45334.418263888889</v>
      </c>
      <c r="D45" s="1" t="s">
        <v>110</v>
      </c>
      <c r="E45" s="3">
        <v>1</v>
      </c>
      <c r="F45" s="1" t="s">
        <v>153</v>
      </c>
      <c r="G45" s="1" t="s">
        <v>146</v>
      </c>
      <c r="H45" s="1" t="str">
        <f>IF(COUNTIF(items_clean!$A:$A, D45)&gt;0, "Valid", "Invalid")</f>
        <v>Valid</v>
      </c>
      <c r="I45">
        <f>IF(COUNTIF(items_clean!$A:$A, D45)&gt;0, 1, 0)</f>
        <v>1</v>
      </c>
    </row>
    <row r="46" spans="1:9" x14ac:dyDescent="0.3">
      <c r="A46" s="1">
        <v>45</v>
      </c>
      <c r="B46" s="1" t="s">
        <v>198</v>
      </c>
      <c r="C46" s="4">
        <v>45334.428993055553</v>
      </c>
      <c r="D46" s="1" t="s">
        <v>115</v>
      </c>
      <c r="E46" s="3">
        <v>1</v>
      </c>
      <c r="F46" s="1" t="s">
        <v>159</v>
      </c>
      <c r="G46" s="1" t="s">
        <v>146</v>
      </c>
      <c r="H46" s="1" t="str">
        <f>IF(COUNTIF(items_clean!$A:$A, D46)&gt;0, "Valid", "Invalid")</f>
        <v>Valid</v>
      </c>
      <c r="I46">
        <f>IF(COUNTIF(items_clean!$A:$A, D46)&gt;0, 1, 0)</f>
        <v>1</v>
      </c>
    </row>
    <row r="47" spans="1:9" x14ac:dyDescent="0.3">
      <c r="A47" s="1">
        <v>46</v>
      </c>
      <c r="B47" s="1" t="s">
        <v>199</v>
      </c>
      <c r="C47" s="4">
        <v>45334.439837962964</v>
      </c>
      <c r="D47" s="1" t="s">
        <v>126</v>
      </c>
      <c r="E47" s="3">
        <v>1</v>
      </c>
      <c r="F47" s="1" t="s">
        <v>145</v>
      </c>
      <c r="G47" s="1" t="s">
        <v>149</v>
      </c>
      <c r="H47" s="1" t="str">
        <f>IF(COUNTIF(items_clean!$A:$A, D47)&gt;0, "Valid", "Invalid")</f>
        <v>Valid</v>
      </c>
      <c r="I47">
        <f>IF(COUNTIF(items_clean!$A:$A, D47)&gt;0, 1, 0)</f>
        <v>1</v>
      </c>
    </row>
    <row r="48" spans="1:9" x14ac:dyDescent="0.3">
      <c r="A48" s="1">
        <v>47</v>
      </c>
      <c r="B48" s="1" t="s">
        <v>200</v>
      </c>
      <c r="C48" s="4">
        <v>45334.451493055552</v>
      </c>
      <c r="D48" s="1" t="s">
        <v>113</v>
      </c>
      <c r="E48" s="3">
        <v>1</v>
      </c>
      <c r="F48" s="1" t="s">
        <v>155</v>
      </c>
      <c r="G48" s="1" t="s">
        <v>146</v>
      </c>
      <c r="H48" s="1" t="str">
        <f>IF(COUNTIF(items_clean!$A:$A, D48)&gt;0, "Valid", "Invalid")</f>
        <v>Valid</v>
      </c>
      <c r="I48">
        <f>IF(COUNTIF(items_clean!$A:$A, D48)&gt;0, 1, 0)</f>
        <v>1</v>
      </c>
    </row>
    <row r="49" spans="1:9" x14ac:dyDescent="0.3">
      <c r="A49" s="1">
        <v>48</v>
      </c>
      <c r="B49" s="1" t="s">
        <v>201</v>
      </c>
      <c r="C49" s="4">
        <v>45334.464537037034</v>
      </c>
      <c r="D49" s="1" t="s">
        <v>128</v>
      </c>
      <c r="E49" s="3">
        <v>1</v>
      </c>
      <c r="F49" s="1" t="s">
        <v>151</v>
      </c>
      <c r="G49" s="1" t="s">
        <v>146</v>
      </c>
      <c r="H49" s="1" t="str">
        <f>IF(COUNTIF(items_clean!$A:$A, D49)&gt;0, "Valid", "Invalid")</f>
        <v>Valid</v>
      </c>
      <c r="I49">
        <f>IF(COUNTIF(items_clean!$A:$A, D49)&gt;0, 1, 0)</f>
        <v>1</v>
      </c>
    </row>
    <row r="50" spans="1:9" x14ac:dyDescent="0.3">
      <c r="A50" s="1">
        <v>49</v>
      </c>
      <c r="B50" s="1" t="s">
        <v>202</v>
      </c>
      <c r="C50" s="4">
        <v>45334.477476851855</v>
      </c>
      <c r="D50" s="1" t="s">
        <v>105</v>
      </c>
      <c r="E50" s="3">
        <v>1</v>
      </c>
      <c r="F50" s="1" t="s">
        <v>163</v>
      </c>
      <c r="G50" s="1" t="s">
        <v>149</v>
      </c>
      <c r="H50" s="1" t="str">
        <f>IF(COUNTIF(items_clean!$A:$A, D50)&gt;0, "Valid", "Invalid")</f>
        <v>Valid</v>
      </c>
      <c r="I50">
        <f>IF(COUNTIF(items_clean!$A:$A, D50)&gt;0, 1, 0)</f>
        <v>1</v>
      </c>
    </row>
    <row r="51" spans="1:9" x14ac:dyDescent="0.3">
      <c r="A51" s="1">
        <v>50</v>
      </c>
      <c r="B51" s="1" t="s">
        <v>202</v>
      </c>
      <c r="C51" s="4">
        <v>45334.477476851855</v>
      </c>
      <c r="D51" s="1" t="s">
        <v>100</v>
      </c>
      <c r="E51" s="3">
        <v>1</v>
      </c>
      <c r="F51" s="1" t="s">
        <v>163</v>
      </c>
      <c r="G51" s="1" t="s">
        <v>778</v>
      </c>
      <c r="H51" s="1" t="str">
        <f>IF(COUNTIF(items_clean!$A:$A, D51)&gt;0, "Valid", "Invalid")</f>
        <v>Valid</v>
      </c>
      <c r="I51">
        <f>IF(COUNTIF(items_clean!$A:$A, D51)&gt;0, 1, 0)</f>
        <v>1</v>
      </c>
    </row>
    <row r="52" spans="1:9" x14ac:dyDescent="0.3">
      <c r="A52" s="1">
        <v>51</v>
      </c>
      <c r="B52" s="1" t="s">
        <v>203</v>
      </c>
      <c r="C52" s="4">
        <v>45334.505810185183</v>
      </c>
      <c r="D52" s="1" t="s">
        <v>122</v>
      </c>
      <c r="E52" s="3">
        <v>1</v>
      </c>
      <c r="F52" s="1" t="s">
        <v>165</v>
      </c>
      <c r="G52" s="1" t="s">
        <v>149</v>
      </c>
      <c r="H52" s="1" t="str">
        <f>IF(COUNTIF(items_clean!$A:$A, D52)&gt;0, "Valid", "Invalid")</f>
        <v>Valid</v>
      </c>
      <c r="I52">
        <f>IF(COUNTIF(items_clean!$A:$A, D52)&gt;0, 1, 0)</f>
        <v>1</v>
      </c>
    </row>
    <row r="53" spans="1:9" x14ac:dyDescent="0.3">
      <c r="A53" s="1">
        <v>52</v>
      </c>
      <c r="B53" s="1" t="s">
        <v>203</v>
      </c>
      <c r="C53" s="4">
        <v>45334.505810185183</v>
      </c>
      <c r="D53" s="1" t="s">
        <v>102</v>
      </c>
      <c r="E53" s="3">
        <v>1</v>
      </c>
      <c r="F53" s="1" t="s">
        <v>165</v>
      </c>
      <c r="G53" s="1" t="s">
        <v>778</v>
      </c>
      <c r="H53" s="1" t="str">
        <f>IF(COUNTIF(items_clean!$A:$A, D53)&gt;0, "Valid", "Invalid")</f>
        <v>Valid</v>
      </c>
      <c r="I53">
        <f>IF(COUNTIF(items_clean!$A:$A, D53)&gt;0, 1, 0)</f>
        <v>1</v>
      </c>
    </row>
    <row r="54" spans="1:9" x14ac:dyDescent="0.3">
      <c r="A54" s="1">
        <v>53</v>
      </c>
      <c r="B54" s="1" t="s">
        <v>203</v>
      </c>
      <c r="C54" s="4">
        <v>45334.505810185183</v>
      </c>
      <c r="D54" s="1" t="s">
        <v>125</v>
      </c>
      <c r="E54" s="3">
        <v>1</v>
      </c>
      <c r="F54" s="1" t="s">
        <v>165</v>
      </c>
      <c r="G54" s="1" t="s">
        <v>778</v>
      </c>
      <c r="H54" s="1" t="str">
        <f>IF(COUNTIF(items_clean!$A:$A, D54)&gt;0, "Valid", "Invalid")</f>
        <v>Valid</v>
      </c>
      <c r="I54">
        <f>IF(COUNTIF(items_clean!$A:$A, D54)&gt;0, 1, 0)</f>
        <v>1</v>
      </c>
    </row>
    <row r="55" spans="1:9" x14ac:dyDescent="0.3">
      <c r="A55" s="1">
        <v>54</v>
      </c>
      <c r="B55" s="1" t="s">
        <v>204</v>
      </c>
      <c r="C55" s="4">
        <v>45334.50708333333</v>
      </c>
      <c r="D55" s="1" t="s">
        <v>105</v>
      </c>
      <c r="E55" s="3">
        <v>1</v>
      </c>
      <c r="F55" s="1" t="s">
        <v>159</v>
      </c>
      <c r="G55" s="1" t="s">
        <v>146</v>
      </c>
      <c r="H55" s="1" t="str">
        <f>IF(COUNTIF(items_clean!$A:$A, D55)&gt;0, "Valid", "Invalid")</f>
        <v>Valid</v>
      </c>
      <c r="I55">
        <f>IF(COUNTIF(items_clean!$A:$A, D55)&gt;0, 1, 0)</f>
        <v>1</v>
      </c>
    </row>
    <row r="56" spans="1:9" x14ac:dyDescent="0.3">
      <c r="A56" s="1">
        <v>55</v>
      </c>
      <c r="B56" s="1" t="s">
        <v>204</v>
      </c>
      <c r="C56" s="4">
        <v>45334.50708333333</v>
      </c>
      <c r="D56" s="1" t="s">
        <v>131</v>
      </c>
      <c r="E56" s="3">
        <v>1</v>
      </c>
      <c r="F56" s="1" t="s">
        <v>159</v>
      </c>
      <c r="G56" s="1" t="s">
        <v>778</v>
      </c>
      <c r="H56" s="1" t="str">
        <f>IF(COUNTIF(items_clean!$A:$A, D56)&gt;0, "Valid", "Invalid")</f>
        <v>Valid</v>
      </c>
      <c r="I56">
        <f>IF(COUNTIF(items_clean!$A:$A, D56)&gt;0, 1, 0)</f>
        <v>1</v>
      </c>
    </row>
    <row r="57" spans="1:9" x14ac:dyDescent="0.3">
      <c r="A57" s="1">
        <v>56</v>
      </c>
      <c r="B57" s="1" t="s">
        <v>205</v>
      </c>
      <c r="C57" s="4">
        <v>45334.507673611108</v>
      </c>
      <c r="D57" s="1" t="s">
        <v>108</v>
      </c>
      <c r="E57" s="3">
        <v>1</v>
      </c>
      <c r="F57" s="1" t="s">
        <v>161</v>
      </c>
      <c r="G57" s="1" t="s">
        <v>146</v>
      </c>
      <c r="H57" s="1" t="str">
        <f>IF(COUNTIF(items_clean!$A:$A, D57)&gt;0, "Valid", "Invalid")</f>
        <v>Valid</v>
      </c>
      <c r="I57">
        <f>IF(COUNTIF(items_clean!$A:$A, D57)&gt;0, 1, 0)</f>
        <v>1</v>
      </c>
    </row>
    <row r="58" spans="1:9" x14ac:dyDescent="0.3">
      <c r="A58" s="1">
        <v>57</v>
      </c>
      <c r="B58" s="1" t="s">
        <v>205</v>
      </c>
      <c r="C58" s="4">
        <v>45334.507673611108</v>
      </c>
      <c r="D58" s="1" t="s">
        <v>128</v>
      </c>
      <c r="E58" s="3">
        <v>1</v>
      </c>
      <c r="F58" s="1" t="s">
        <v>161</v>
      </c>
      <c r="G58" s="1" t="s">
        <v>778</v>
      </c>
      <c r="H58" s="1" t="str">
        <f>IF(COUNTIF(items_clean!$A:$A, D58)&gt;0, "Valid", "Invalid")</f>
        <v>Valid</v>
      </c>
      <c r="I58">
        <f>IF(COUNTIF(items_clean!$A:$A, D58)&gt;0, 1, 0)</f>
        <v>1</v>
      </c>
    </row>
    <row r="59" spans="1:9" x14ac:dyDescent="0.3">
      <c r="A59" s="1">
        <v>58</v>
      </c>
      <c r="B59" s="1" t="s">
        <v>206</v>
      </c>
      <c r="C59" s="4">
        <v>45334.51121527778</v>
      </c>
      <c r="D59" s="1" t="s">
        <v>135</v>
      </c>
      <c r="E59" s="3">
        <v>1</v>
      </c>
      <c r="F59" s="1" t="s">
        <v>163</v>
      </c>
      <c r="G59" s="1" t="s">
        <v>149</v>
      </c>
      <c r="H59" s="1" t="str">
        <f>IF(COUNTIF(items_clean!$A:$A, D59)&gt;0, "Valid", "Invalid")</f>
        <v>Valid</v>
      </c>
      <c r="I59">
        <f>IF(COUNTIF(items_clean!$A:$A, D59)&gt;0, 1, 0)</f>
        <v>1</v>
      </c>
    </row>
    <row r="60" spans="1:9" x14ac:dyDescent="0.3">
      <c r="A60" s="1">
        <v>59</v>
      </c>
      <c r="B60" s="1" t="s">
        <v>206</v>
      </c>
      <c r="C60" s="4">
        <v>45334.51121527778</v>
      </c>
      <c r="D60" s="1" t="s">
        <v>116</v>
      </c>
      <c r="E60" s="3">
        <v>1</v>
      </c>
      <c r="F60" s="1" t="s">
        <v>163</v>
      </c>
      <c r="G60" s="1" t="s">
        <v>778</v>
      </c>
      <c r="H60" s="1" t="str">
        <f>IF(COUNTIF(items_clean!$A:$A, D60)&gt;0, "Valid", "Invalid")</f>
        <v>Valid</v>
      </c>
      <c r="I60">
        <f>IF(COUNTIF(items_clean!$A:$A, D60)&gt;0, 1, 0)</f>
        <v>1</v>
      </c>
    </row>
    <row r="61" spans="1:9" x14ac:dyDescent="0.3">
      <c r="A61" s="1">
        <v>60</v>
      </c>
      <c r="B61" s="1" t="s">
        <v>207</v>
      </c>
      <c r="C61" s="4">
        <v>45334.512662037036</v>
      </c>
      <c r="D61" s="1" t="s">
        <v>104</v>
      </c>
      <c r="E61" s="3">
        <v>1</v>
      </c>
      <c r="F61" s="1" t="s">
        <v>151</v>
      </c>
      <c r="G61" s="1" t="s">
        <v>146</v>
      </c>
      <c r="H61" s="1" t="str">
        <f>IF(COUNTIF(items_clean!$A:$A, D61)&gt;0, "Valid", "Invalid")</f>
        <v>Valid</v>
      </c>
      <c r="I61">
        <f>IF(COUNTIF(items_clean!$A:$A, D61)&gt;0, 1, 0)</f>
        <v>1</v>
      </c>
    </row>
    <row r="62" spans="1:9" x14ac:dyDescent="0.3">
      <c r="A62" s="1">
        <v>61</v>
      </c>
      <c r="B62" s="1" t="s">
        <v>208</v>
      </c>
      <c r="C62" s="4">
        <v>45334.51489583333</v>
      </c>
      <c r="D62" s="1" t="s">
        <v>134</v>
      </c>
      <c r="E62" s="3">
        <v>1</v>
      </c>
      <c r="F62" s="1" t="s">
        <v>155</v>
      </c>
      <c r="G62" s="1" t="s">
        <v>146</v>
      </c>
      <c r="H62" s="1" t="str">
        <f>IF(COUNTIF(items_clean!$A:$A, D62)&gt;0, "Valid", "Invalid")</f>
        <v>Valid</v>
      </c>
      <c r="I62">
        <f>IF(COUNTIF(items_clean!$A:$A, D62)&gt;0, 1, 0)</f>
        <v>1</v>
      </c>
    </row>
    <row r="63" spans="1:9" x14ac:dyDescent="0.3">
      <c r="A63" s="1">
        <v>62</v>
      </c>
      <c r="B63" s="1" t="s">
        <v>209</v>
      </c>
      <c r="C63" s="4">
        <v>45334.516423611109</v>
      </c>
      <c r="D63" s="1" t="s">
        <v>128</v>
      </c>
      <c r="E63" s="3">
        <v>1</v>
      </c>
      <c r="F63" s="1" t="s">
        <v>159</v>
      </c>
      <c r="G63" s="1" t="s">
        <v>146</v>
      </c>
      <c r="H63" s="1" t="str">
        <f>IF(COUNTIF(items_clean!$A:$A, D63)&gt;0, "Valid", "Invalid")</f>
        <v>Valid</v>
      </c>
      <c r="I63">
        <f>IF(COUNTIF(items_clean!$A:$A, D63)&gt;0, 1, 0)</f>
        <v>1</v>
      </c>
    </row>
    <row r="64" spans="1:9" x14ac:dyDescent="0.3">
      <c r="A64" s="1">
        <v>63</v>
      </c>
      <c r="B64" s="1" t="s">
        <v>210</v>
      </c>
      <c r="C64" s="4">
        <v>45334.518113425926</v>
      </c>
      <c r="D64" s="1" t="s">
        <v>126</v>
      </c>
      <c r="E64" s="3">
        <v>1</v>
      </c>
      <c r="F64" s="1" t="s">
        <v>145</v>
      </c>
      <c r="G64" s="1" t="s">
        <v>149</v>
      </c>
      <c r="H64" s="1" t="str">
        <f>IF(COUNTIF(items_clean!$A:$A, D64)&gt;0, "Valid", "Invalid")</f>
        <v>Valid</v>
      </c>
      <c r="I64">
        <f>IF(COUNTIF(items_clean!$A:$A, D64)&gt;0, 1, 0)</f>
        <v>1</v>
      </c>
    </row>
    <row r="65" spans="1:9" x14ac:dyDescent="0.3">
      <c r="A65" s="1">
        <v>64</v>
      </c>
      <c r="B65" s="1" t="s">
        <v>211</v>
      </c>
      <c r="C65" s="4">
        <v>45334.520335648151</v>
      </c>
      <c r="D65" s="1" t="s">
        <v>113</v>
      </c>
      <c r="E65" s="3">
        <v>1</v>
      </c>
      <c r="F65" s="1" t="s">
        <v>153</v>
      </c>
      <c r="G65" s="1" t="s">
        <v>146</v>
      </c>
      <c r="H65" s="1" t="str">
        <f>IF(COUNTIF(items_clean!$A:$A, D65)&gt;0, "Valid", "Invalid")</f>
        <v>Valid</v>
      </c>
      <c r="I65">
        <f>IF(COUNTIF(items_clean!$A:$A, D65)&gt;0, 1, 0)</f>
        <v>1</v>
      </c>
    </row>
    <row r="66" spans="1:9" x14ac:dyDescent="0.3">
      <c r="A66" s="1">
        <v>65</v>
      </c>
      <c r="B66" s="1" t="s">
        <v>212</v>
      </c>
      <c r="C66" s="4">
        <v>45334.522557870368</v>
      </c>
      <c r="D66" s="1" t="s">
        <v>113</v>
      </c>
      <c r="E66" s="3">
        <v>1</v>
      </c>
      <c r="F66" s="1" t="s">
        <v>167</v>
      </c>
      <c r="G66" s="1" t="s">
        <v>146</v>
      </c>
      <c r="H66" s="1" t="str">
        <f>IF(COUNTIF(items_clean!$A:$A, D66)&gt;0, "Valid", "Invalid")</f>
        <v>Valid</v>
      </c>
      <c r="I66">
        <f>IF(COUNTIF(items_clean!$A:$A, D66)&gt;0, 1, 0)</f>
        <v>1</v>
      </c>
    </row>
    <row r="67" spans="1:9" x14ac:dyDescent="0.3">
      <c r="A67" s="1">
        <v>66</v>
      </c>
      <c r="B67" s="1" t="s">
        <v>213</v>
      </c>
      <c r="C67" s="4">
        <v>45334.524687500001</v>
      </c>
      <c r="D67" s="1" t="s">
        <v>118</v>
      </c>
      <c r="E67" s="3">
        <v>1</v>
      </c>
      <c r="F67" s="1" t="s">
        <v>148</v>
      </c>
      <c r="G67" s="1" t="s">
        <v>146</v>
      </c>
      <c r="H67" s="1" t="str">
        <f>IF(COUNTIF(items_clean!$A:$A, D67)&gt;0, "Valid", "Invalid")</f>
        <v>Valid</v>
      </c>
      <c r="I67">
        <f>IF(COUNTIF(items_clean!$A:$A, D67)&gt;0, 1, 0)</f>
        <v>1</v>
      </c>
    </row>
    <row r="68" spans="1:9" x14ac:dyDescent="0.3">
      <c r="A68" s="1">
        <v>67</v>
      </c>
      <c r="B68" s="1" t="s">
        <v>214</v>
      </c>
      <c r="C68" s="4">
        <v>45334.526921296296</v>
      </c>
      <c r="D68" s="1" t="s">
        <v>105</v>
      </c>
      <c r="E68" s="3">
        <v>1</v>
      </c>
      <c r="F68" s="1" t="s">
        <v>165</v>
      </c>
      <c r="G68" s="1" t="s">
        <v>149</v>
      </c>
      <c r="H68" s="1" t="str">
        <f>IF(COUNTIF(items_clean!$A:$A, D68)&gt;0, "Valid", "Invalid")</f>
        <v>Valid</v>
      </c>
      <c r="I68">
        <f>IF(COUNTIF(items_clean!$A:$A, D68)&gt;0, 1, 0)</f>
        <v>1</v>
      </c>
    </row>
    <row r="69" spans="1:9" x14ac:dyDescent="0.3">
      <c r="A69" s="1">
        <v>68</v>
      </c>
      <c r="B69" s="1" t="s">
        <v>215</v>
      </c>
      <c r="C69" s="4">
        <v>45334.529143518521</v>
      </c>
      <c r="D69" s="1" t="s">
        <v>129</v>
      </c>
      <c r="E69" s="3">
        <v>1</v>
      </c>
      <c r="F69" s="1" t="s">
        <v>157</v>
      </c>
      <c r="G69" s="1" t="s">
        <v>146</v>
      </c>
      <c r="H69" s="1" t="str">
        <f>IF(COUNTIF(items_clean!$A:$A, D69)&gt;0, "Valid", "Invalid")</f>
        <v>Valid</v>
      </c>
      <c r="I69">
        <f>IF(COUNTIF(items_clean!$A:$A, D69)&gt;0, 1, 0)</f>
        <v>1</v>
      </c>
    </row>
    <row r="70" spans="1:9" x14ac:dyDescent="0.3">
      <c r="A70" s="1">
        <v>69</v>
      </c>
      <c r="B70" s="1" t="s">
        <v>216</v>
      </c>
      <c r="C70" s="4">
        <v>45334.530682870369</v>
      </c>
      <c r="D70" s="1" t="s">
        <v>131</v>
      </c>
      <c r="E70" s="3">
        <v>1</v>
      </c>
      <c r="F70" s="1" t="s">
        <v>179</v>
      </c>
      <c r="G70" s="1" t="s">
        <v>149</v>
      </c>
      <c r="H70" s="1" t="str">
        <f>IF(COUNTIF(items_clean!$A:$A, D70)&gt;0, "Valid", "Invalid")</f>
        <v>Valid</v>
      </c>
      <c r="I70">
        <f>IF(COUNTIF(items_clean!$A:$A, D70)&gt;0, 1, 0)</f>
        <v>1</v>
      </c>
    </row>
    <row r="71" spans="1:9" x14ac:dyDescent="0.3">
      <c r="A71" s="1">
        <v>70</v>
      </c>
      <c r="B71" s="1" t="s">
        <v>217</v>
      </c>
      <c r="C71" s="4">
        <v>45334.532916666663</v>
      </c>
      <c r="D71" s="1" t="s">
        <v>132</v>
      </c>
      <c r="E71" s="3">
        <v>1</v>
      </c>
      <c r="F71" s="1" t="s">
        <v>161</v>
      </c>
      <c r="G71" s="1" t="s">
        <v>146</v>
      </c>
      <c r="H71" s="1" t="str">
        <f>IF(COUNTIF(items_clean!$A:$A, D71)&gt;0, "Valid", "Invalid")</f>
        <v>Valid</v>
      </c>
      <c r="I71">
        <f>IF(COUNTIF(items_clean!$A:$A, D71)&gt;0, 1, 0)</f>
        <v>1</v>
      </c>
    </row>
    <row r="72" spans="1:9" x14ac:dyDescent="0.3">
      <c r="A72" s="1">
        <v>71</v>
      </c>
      <c r="B72" s="1" t="s">
        <v>218</v>
      </c>
      <c r="C72" s="4">
        <v>45334.535150462965</v>
      </c>
      <c r="D72" s="1" t="s">
        <v>121</v>
      </c>
      <c r="E72" s="3">
        <v>1</v>
      </c>
      <c r="F72" s="1" t="s">
        <v>219</v>
      </c>
      <c r="G72" s="1" t="s">
        <v>149</v>
      </c>
      <c r="H72" s="1" t="str">
        <f>IF(COUNTIF(items_clean!$A:$A, D72)&gt;0, "Valid", "Invalid")</f>
        <v>Valid</v>
      </c>
      <c r="I72">
        <f>IF(COUNTIF(items_clean!$A:$A, D72)&gt;0, 1, 0)</f>
        <v>1</v>
      </c>
    </row>
    <row r="73" spans="1:9" x14ac:dyDescent="0.3">
      <c r="A73" s="1">
        <v>72</v>
      </c>
      <c r="B73" s="1" t="s">
        <v>220</v>
      </c>
      <c r="C73" s="4">
        <v>45334.537372685183</v>
      </c>
      <c r="D73" s="1" t="s">
        <v>125</v>
      </c>
      <c r="E73" s="3">
        <v>1</v>
      </c>
      <c r="F73" s="1" t="s">
        <v>163</v>
      </c>
      <c r="G73" s="1" t="s">
        <v>146</v>
      </c>
      <c r="H73" s="1" t="str">
        <f>IF(COUNTIF(items_clean!$A:$A, D73)&gt;0, "Valid", "Invalid")</f>
        <v>Valid</v>
      </c>
      <c r="I73">
        <f>IF(COUNTIF(items_clean!$A:$A, D73)&gt;0, 1, 0)</f>
        <v>1</v>
      </c>
    </row>
    <row r="74" spans="1:9" x14ac:dyDescent="0.3">
      <c r="A74" s="1">
        <v>73</v>
      </c>
      <c r="B74" s="1" t="s">
        <v>221</v>
      </c>
      <c r="C74" s="4">
        <v>45334.5390625</v>
      </c>
      <c r="D74" s="1" t="s">
        <v>135</v>
      </c>
      <c r="E74" s="3">
        <v>1</v>
      </c>
      <c r="F74" s="1" t="s">
        <v>151</v>
      </c>
      <c r="G74" s="1" t="s">
        <v>146</v>
      </c>
      <c r="H74" s="1" t="str">
        <f>IF(COUNTIF(items_clean!$A:$A, D74)&gt;0, "Valid", "Invalid")</f>
        <v>Valid</v>
      </c>
      <c r="I74">
        <f>IF(COUNTIF(items_clean!$A:$A, D74)&gt;0, 1, 0)</f>
        <v>1</v>
      </c>
    </row>
    <row r="75" spans="1:9" x14ac:dyDescent="0.3">
      <c r="A75" s="1">
        <v>74</v>
      </c>
      <c r="B75" s="1" t="s">
        <v>222</v>
      </c>
      <c r="C75" s="4">
        <v>45334.541296296295</v>
      </c>
      <c r="D75" s="1" t="s">
        <v>131</v>
      </c>
      <c r="E75" s="3">
        <v>1</v>
      </c>
      <c r="F75" s="1" t="s">
        <v>155</v>
      </c>
      <c r="G75" s="1" t="s">
        <v>146</v>
      </c>
      <c r="H75" s="1" t="str">
        <f>IF(COUNTIF(items_clean!$A:$A, D75)&gt;0, "Valid", "Invalid")</f>
        <v>Valid</v>
      </c>
      <c r="I75">
        <f>IF(COUNTIF(items_clean!$A:$A, D75)&gt;0, 1, 0)</f>
        <v>1</v>
      </c>
    </row>
    <row r="76" spans="1:9" x14ac:dyDescent="0.3">
      <c r="A76" s="1">
        <v>75</v>
      </c>
      <c r="B76" s="1" t="s">
        <v>223</v>
      </c>
      <c r="C76" s="4">
        <v>45334.543541666666</v>
      </c>
      <c r="D76" s="1" t="s">
        <v>119</v>
      </c>
      <c r="E76" s="3">
        <v>1</v>
      </c>
      <c r="F76" s="1" t="s">
        <v>159</v>
      </c>
      <c r="G76" s="1" t="s">
        <v>149</v>
      </c>
      <c r="H76" s="1" t="str">
        <f>IF(COUNTIF(items_clean!$A:$A, D76)&gt;0, "Valid", "Invalid")</f>
        <v>Valid</v>
      </c>
      <c r="I76">
        <f>IF(COUNTIF(items_clean!$A:$A, D76)&gt;0, 1, 0)</f>
        <v>1</v>
      </c>
    </row>
    <row r="77" spans="1:9" x14ac:dyDescent="0.3">
      <c r="A77" s="1">
        <v>76</v>
      </c>
      <c r="B77" s="1" t="s">
        <v>224</v>
      </c>
      <c r="C77" s="4">
        <v>45334.545763888891</v>
      </c>
      <c r="D77" s="1" t="s">
        <v>96</v>
      </c>
      <c r="E77" s="3">
        <v>1</v>
      </c>
      <c r="F77" s="1" t="s">
        <v>145</v>
      </c>
      <c r="G77" s="1" t="s">
        <v>146</v>
      </c>
      <c r="H77" s="1" t="str">
        <f>IF(COUNTIF(items_clean!$A:$A, D77)&gt;0, "Valid", "Invalid")</f>
        <v>Valid</v>
      </c>
      <c r="I77">
        <f>IF(COUNTIF(items_clean!$A:$A, D77)&gt;0, 1, 0)</f>
        <v>1</v>
      </c>
    </row>
    <row r="78" spans="1:9" x14ac:dyDescent="0.3">
      <c r="A78" s="1">
        <v>77</v>
      </c>
      <c r="B78" s="1" t="s">
        <v>225</v>
      </c>
      <c r="C78" s="4">
        <v>45334.547291666669</v>
      </c>
      <c r="D78" s="1" t="s">
        <v>102</v>
      </c>
      <c r="E78" s="3">
        <v>1</v>
      </c>
      <c r="F78" s="1" t="s">
        <v>153</v>
      </c>
      <c r="G78" s="1" t="s">
        <v>149</v>
      </c>
      <c r="H78" s="1" t="str">
        <f>IF(COUNTIF(items_clean!$A:$A, D78)&gt;0, "Valid", "Invalid")</f>
        <v>Valid</v>
      </c>
      <c r="I78">
        <f>IF(COUNTIF(items_clean!$A:$A, D78)&gt;0, 1, 0)</f>
        <v>1</v>
      </c>
    </row>
    <row r="79" spans="1:9" x14ac:dyDescent="0.3">
      <c r="A79" s="1">
        <v>78</v>
      </c>
      <c r="B79" s="1" t="s">
        <v>226</v>
      </c>
      <c r="C79" s="4">
        <v>45334.549525462964</v>
      </c>
      <c r="D79" s="1" t="s">
        <v>111</v>
      </c>
      <c r="E79" s="3">
        <v>1</v>
      </c>
      <c r="F79" s="1" t="s">
        <v>167</v>
      </c>
      <c r="G79" s="1" t="s">
        <v>146</v>
      </c>
      <c r="H79" s="1" t="str">
        <f>IF(COUNTIF(items_clean!$A:$A, D79)&gt;0, "Valid", "Invalid")</f>
        <v>Valid</v>
      </c>
      <c r="I79">
        <f>IF(COUNTIF(items_clean!$A:$A, D79)&gt;0, 1, 0)</f>
        <v>1</v>
      </c>
    </row>
    <row r="80" spans="1:9" x14ac:dyDescent="0.3">
      <c r="A80" s="1">
        <v>79</v>
      </c>
      <c r="B80" s="1" t="s">
        <v>227</v>
      </c>
      <c r="C80" s="4">
        <v>45334.551053240742</v>
      </c>
      <c r="D80" s="1" t="s">
        <v>100</v>
      </c>
      <c r="E80" s="3">
        <v>1</v>
      </c>
      <c r="F80" s="1" t="s">
        <v>179</v>
      </c>
      <c r="G80" s="1" t="s">
        <v>149</v>
      </c>
      <c r="H80" s="1" t="str">
        <f>IF(COUNTIF(items_clean!$A:$A, D80)&gt;0, "Valid", "Invalid")</f>
        <v>Valid</v>
      </c>
      <c r="I80">
        <f>IF(COUNTIF(items_clean!$A:$A, D80)&gt;0, 1, 0)</f>
        <v>1</v>
      </c>
    </row>
    <row r="81" spans="1:9" x14ac:dyDescent="0.3">
      <c r="A81" s="1">
        <v>80</v>
      </c>
      <c r="B81" s="1" t="s">
        <v>227</v>
      </c>
      <c r="C81" s="4">
        <v>45334.551192129627</v>
      </c>
      <c r="D81" s="1" t="s">
        <v>110</v>
      </c>
      <c r="E81" s="3">
        <v>1</v>
      </c>
      <c r="F81" s="1" t="s">
        <v>179</v>
      </c>
      <c r="G81" s="1" t="s">
        <v>778</v>
      </c>
      <c r="H81" s="1" t="str">
        <f>IF(COUNTIF(items_clean!$A:$A, D81)&gt;0, "Valid", "Invalid")</f>
        <v>Valid</v>
      </c>
      <c r="I81">
        <f>IF(COUNTIF(items_clean!$A:$A, D81)&gt;0, 1, 0)</f>
        <v>1</v>
      </c>
    </row>
    <row r="82" spans="1:9" x14ac:dyDescent="0.3">
      <c r="A82" s="1">
        <v>81</v>
      </c>
      <c r="B82" s="1" t="s">
        <v>228</v>
      </c>
      <c r="C82" s="4">
        <v>45334.552731481483</v>
      </c>
      <c r="D82" s="1" t="s">
        <v>129</v>
      </c>
      <c r="E82" s="3">
        <v>1</v>
      </c>
      <c r="F82" s="1" t="s">
        <v>148</v>
      </c>
      <c r="G82" s="1" t="s">
        <v>146</v>
      </c>
      <c r="H82" s="1" t="str">
        <f>IF(COUNTIF(items_clean!$A:$A, D82)&gt;0, "Valid", "Invalid")</f>
        <v>Valid</v>
      </c>
      <c r="I82">
        <f>IF(COUNTIF(items_clean!$A:$A, D82)&gt;0, 1, 0)</f>
        <v>1</v>
      </c>
    </row>
    <row r="83" spans="1:9" x14ac:dyDescent="0.3">
      <c r="A83" s="1">
        <v>82</v>
      </c>
      <c r="B83" s="1" t="s">
        <v>229</v>
      </c>
      <c r="C83" s="4">
        <v>45334.553564814814</v>
      </c>
      <c r="D83" s="1" t="s">
        <v>132</v>
      </c>
      <c r="E83" s="3">
        <v>1</v>
      </c>
      <c r="F83" s="1" t="s">
        <v>219</v>
      </c>
      <c r="G83" s="1" t="s">
        <v>146</v>
      </c>
      <c r="H83" s="1" t="str">
        <f>IF(COUNTIF(items_clean!$A:$A, D83)&gt;0, "Valid", "Invalid")</f>
        <v>Valid</v>
      </c>
      <c r="I83">
        <f>IF(COUNTIF(items_clean!$A:$A, D83)&gt;0, 1, 0)</f>
        <v>1</v>
      </c>
    </row>
    <row r="84" spans="1:9" x14ac:dyDescent="0.3">
      <c r="A84" s="1">
        <v>83</v>
      </c>
      <c r="B84" s="1" t="s">
        <v>229</v>
      </c>
      <c r="C84" s="4">
        <v>45334.553564814814</v>
      </c>
      <c r="D84" s="1" t="s">
        <v>105</v>
      </c>
      <c r="E84" s="3">
        <v>1</v>
      </c>
      <c r="F84" s="1" t="s">
        <v>219</v>
      </c>
      <c r="G84" s="1" t="s">
        <v>778</v>
      </c>
      <c r="H84" s="1" t="str">
        <f>IF(COUNTIF(items_clean!$A:$A, D84)&gt;0, "Valid", "Invalid")</f>
        <v>Valid</v>
      </c>
      <c r="I84">
        <f>IF(COUNTIF(items_clean!$A:$A, D84)&gt;0, 1, 0)</f>
        <v>1</v>
      </c>
    </row>
    <row r="85" spans="1:9" x14ac:dyDescent="0.3">
      <c r="A85" s="1">
        <v>84</v>
      </c>
      <c r="B85" s="1" t="s">
        <v>229</v>
      </c>
      <c r="C85" s="4">
        <v>45334.553564814814</v>
      </c>
      <c r="D85" s="1" t="s">
        <v>121</v>
      </c>
      <c r="E85" s="3">
        <v>1</v>
      </c>
      <c r="F85" s="1" t="s">
        <v>219</v>
      </c>
      <c r="G85" s="1" t="s">
        <v>778</v>
      </c>
      <c r="H85" s="1" t="str">
        <f>IF(COUNTIF(items_clean!$A:$A, D85)&gt;0, "Valid", "Invalid")</f>
        <v>Valid</v>
      </c>
      <c r="I85">
        <f>IF(COUNTIF(items_clean!$A:$A, D85)&gt;0, 1, 0)</f>
        <v>1</v>
      </c>
    </row>
    <row r="86" spans="1:9" x14ac:dyDescent="0.3">
      <c r="A86" s="1">
        <v>85</v>
      </c>
      <c r="B86" s="1" t="s">
        <v>230</v>
      </c>
      <c r="C86" s="4">
        <v>45334.55609953704</v>
      </c>
      <c r="D86" s="1" t="s">
        <v>104</v>
      </c>
      <c r="E86" s="3">
        <v>1</v>
      </c>
      <c r="F86" s="1" t="s">
        <v>153</v>
      </c>
      <c r="G86" s="1" t="s">
        <v>149</v>
      </c>
      <c r="H86" s="1" t="str">
        <f>IF(COUNTIF(items_clean!$A:$A, D86)&gt;0, "Valid", "Invalid")</f>
        <v>Valid</v>
      </c>
      <c r="I86">
        <f>IF(COUNTIF(items_clean!$A:$A, D86)&gt;0, 1, 0)</f>
        <v>1</v>
      </c>
    </row>
    <row r="87" spans="1:9" x14ac:dyDescent="0.3">
      <c r="A87" s="1">
        <v>86</v>
      </c>
      <c r="B87" s="1" t="s">
        <v>230</v>
      </c>
      <c r="C87" s="4">
        <v>45334.55609953704</v>
      </c>
      <c r="D87" s="1" t="s">
        <v>102</v>
      </c>
      <c r="E87" s="3">
        <v>1</v>
      </c>
      <c r="F87" s="1" t="s">
        <v>153</v>
      </c>
      <c r="G87" s="1" t="s">
        <v>778</v>
      </c>
      <c r="H87" s="1" t="str">
        <f>IF(COUNTIF(items_clean!$A:$A, D87)&gt;0, "Valid", "Invalid")</f>
        <v>Valid</v>
      </c>
      <c r="I87">
        <f>IF(COUNTIF(items_clean!$A:$A, D87)&gt;0, 1, 0)</f>
        <v>1</v>
      </c>
    </row>
    <row r="88" spans="1:9" x14ac:dyDescent="0.3">
      <c r="A88" s="1">
        <v>87</v>
      </c>
      <c r="B88" s="1" t="s">
        <v>231</v>
      </c>
      <c r="C88" s="4">
        <v>45334.557083333333</v>
      </c>
      <c r="D88" s="1" t="s">
        <v>118</v>
      </c>
      <c r="E88" s="3">
        <v>1</v>
      </c>
      <c r="F88" s="1" t="s">
        <v>151</v>
      </c>
      <c r="G88" s="1" t="s">
        <v>146</v>
      </c>
      <c r="H88" s="1" t="str">
        <f>IF(COUNTIF(items_clean!$A:$A, D88)&gt;0, "Valid", "Invalid")</f>
        <v>Valid</v>
      </c>
      <c r="I88">
        <f>IF(COUNTIF(items_clean!$A:$A, D88)&gt;0, 1, 0)</f>
        <v>1</v>
      </c>
    </row>
    <row r="89" spans="1:9" x14ac:dyDescent="0.3">
      <c r="A89" s="1">
        <v>88</v>
      </c>
      <c r="B89" s="1" t="s">
        <v>231</v>
      </c>
      <c r="C89" s="4">
        <v>45334.557083333333</v>
      </c>
      <c r="D89" s="1" t="s">
        <v>113</v>
      </c>
      <c r="E89" s="3">
        <v>1</v>
      </c>
      <c r="F89" s="1" t="s">
        <v>151</v>
      </c>
      <c r="G89" s="1" t="s">
        <v>778</v>
      </c>
      <c r="H89" s="1" t="str">
        <f>IF(COUNTIF(items_clean!$A:$A, D89)&gt;0, "Valid", "Invalid")</f>
        <v>Valid</v>
      </c>
      <c r="I89">
        <f>IF(COUNTIF(items_clean!$A:$A, D89)&gt;0, 1, 0)</f>
        <v>1</v>
      </c>
    </row>
    <row r="90" spans="1:9" x14ac:dyDescent="0.3">
      <c r="A90" s="1">
        <v>89</v>
      </c>
      <c r="B90" s="1" t="s">
        <v>232</v>
      </c>
      <c r="C90" s="4">
        <v>45334.559467592589</v>
      </c>
      <c r="D90" s="1" t="s">
        <v>128</v>
      </c>
      <c r="E90" s="3">
        <v>1</v>
      </c>
      <c r="F90" s="1" t="s">
        <v>159</v>
      </c>
      <c r="G90" s="1" t="s">
        <v>146</v>
      </c>
      <c r="H90" s="1" t="str">
        <f>IF(COUNTIF(items_clean!$A:$A, D90)&gt;0, "Valid", "Invalid")</f>
        <v>Valid</v>
      </c>
      <c r="I90">
        <f>IF(COUNTIF(items_clean!$A:$A, D90)&gt;0, 1, 0)</f>
        <v>1</v>
      </c>
    </row>
    <row r="91" spans="1:9" x14ac:dyDescent="0.3">
      <c r="A91" s="1">
        <v>90</v>
      </c>
      <c r="B91" s="1" t="s">
        <v>232</v>
      </c>
      <c r="C91" s="4">
        <v>45334.559050925927</v>
      </c>
      <c r="D91" s="1" t="s">
        <v>134</v>
      </c>
      <c r="E91" s="3">
        <v>1</v>
      </c>
      <c r="F91" s="1" t="s">
        <v>159</v>
      </c>
      <c r="G91" s="1" t="s">
        <v>778</v>
      </c>
      <c r="H91" s="1" t="str">
        <f>IF(COUNTIF(items_clean!$A:$A, D91)&gt;0, "Valid", "Invalid")</f>
        <v>Valid</v>
      </c>
      <c r="I91">
        <f>IF(COUNTIF(items_clean!$A:$A, D91)&gt;0, 1, 0)</f>
        <v>1</v>
      </c>
    </row>
    <row r="92" spans="1:9" x14ac:dyDescent="0.3">
      <c r="A92" s="1">
        <v>91</v>
      </c>
      <c r="B92" s="1" t="s">
        <v>233</v>
      </c>
      <c r="C92" s="4">
        <v>45334.560578703706</v>
      </c>
      <c r="D92" s="1" t="s">
        <v>116</v>
      </c>
      <c r="E92" s="3">
        <v>1</v>
      </c>
      <c r="F92" s="1" t="s">
        <v>155</v>
      </c>
      <c r="G92" s="1" t="s">
        <v>146</v>
      </c>
      <c r="H92" s="1" t="str">
        <f>IF(COUNTIF(items_clean!$A:$A, D92)&gt;0, "Valid", "Invalid")</f>
        <v>Valid</v>
      </c>
      <c r="I92">
        <f>IF(COUNTIF(items_clean!$A:$A, D92)&gt;0, 1, 0)</f>
        <v>1</v>
      </c>
    </row>
    <row r="93" spans="1:9" x14ac:dyDescent="0.3">
      <c r="A93" s="1">
        <v>92</v>
      </c>
      <c r="B93" s="1" t="s">
        <v>233</v>
      </c>
      <c r="C93" s="4">
        <v>45334.560578703706</v>
      </c>
      <c r="D93" s="1" t="s">
        <v>122</v>
      </c>
      <c r="E93" s="3">
        <v>1</v>
      </c>
      <c r="F93" s="1" t="s">
        <v>155</v>
      </c>
      <c r="G93" s="1" t="s">
        <v>778</v>
      </c>
      <c r="H93" s="1" t="str">
        <f>IF(COUNTIF(items_clean!$A:$A, D93)&gt;0, "Valid", "Invalid")</f>
        <v>Valid</v>
      </c>
      <c r="I93">
        <f>IF(COUNTIF(items_clean!$A:$A, D93)&gt;0, 1, 0)</f>
        <v>1</v>
      </c>
    </row>
    <row r="94" spans="1:9" x14ac:dyDescent="0.3">
      <c r="A94" s="1">
        <v>93</v>
      </c>
      <c r="B94" s="1" t="s">
        <v>234</v>
      </c>
      <c r="C94" s="4">
        <v>45334.562939814816</v>
      </c>
      <c r="D94" s="1" t="s">
        <v>108</v>
      </c>
      <c r="E94" s="3">
        <v>1</v>
      </c>
      <c r="F94" s="1" t="s">
        <v>157</v>
      </c>
      <c r="G94" s="1" t="s">
        <v>146</v>
      </c>
      <c r="H94" s="1" t="str">
        <f>IF(COUNTIF(items_clean!$A:$A, D94)&gt;0, "Valid", "Invalid")</f>
        <v>Valid</v>
      </c>
      <c r="I94">
        <f>IF(COUNTIF(items_clean!$A:$A, D94)&gt;0, 1, 0)</f>
        <v>1</v>
      </c>
    </row>
    <row r="95" spans="1:9" x14ac:dyDescent="0.3">
      <c r="A95" s="1">
        <v>94</v>
      </c>
      <c r="B95" s="1" t="s">
        <v>234</v>
      </c>
      <c r="C95" s="4">
        <v>45334.562939814816</v>
      </c>
      <c r="D95" s="1" t="s">
        <v>134</v>
      </c>
      <c r="E95" s="3">
        <v>1</v>
      </c>
      <c r="F95" s="1" t="s">
        <v>157</v>
      </c>
      <c r="G95" s="1" t="s">
        <v>778</v>
      </c>
      <c r="H95" s="1" t="str">
        <f>IF(COUNTIF(items_clean!$A:$A, D95)&gt;0, "Valid", "Invalid")</f>
        <v>Valid</v>
      </c>
      <c r="I95">
        <f>IF(COUNTIF(items_clean!$A:$A, D95)&gt;0, 1, 0)</f>
        <v>1</v>
      </c>
    </row>
    <row r="96" spans="1:9" x14ac:dyDescent="0.3">
      <c r="A96" s="1">
        <v>95</v>
      </c>
      <c r="B96" s="1" t="s">
        <v>235</v>
      </c>
      <c r="C96" s="4">
        <v>45334.56454861111</v>
      </c>
      <c r="D96" s="1" t="s">
        <v>115</v>
      </c>
      <c r="E96" s="3">
        <v>1</v>
      </c>
      <c r="F96" s="1" t="s">
        <v>163</v>
      </c>
      <c r="G96" s="1" t="s">
        <v>146</v>
      </c>
      <c r="H96" s="1" t="str">
        <f>IF(COUNTIF(items_clean!$A:$A, D96)&gt;0, "Valid", "Invalid")</f>
        <v>Valid</v>
      </c>
      <c r="I96">
        <f>IF(COUNTIF(items_clean!$A:$A, D96)&gt;0, 1, 0)</f>
        <v>1</v>
      </c>
    </row>
    <row r="97" spans="1:9" x14ac:dyDescent="0.3">
      <c r="A97" s="1">
        <v>96</v>
      </c>
      <c r="B97" s="1" t="s">
        <v>235</v>
      </c>
      <c r="C97" s="4">
        <v>45334.56454861111</v>
      </c>
      <c r="D97" s="1" t="s">
        <v>138</v>
      </c>
      <c r="E97" s="3">
        <v>1</v>
      </c>
      <c r="F97" s="1" t="s">
        <v>163</v>
      </c>
      <c r="G97" s="1" t="s">
        <v>778</v>
      </c>
      <c r="H97" s="1" t="str">
        <f>IF(COUNTIF(items_clean!$A:$A, D97)&gt;0, "Valid", "Invalid")</f>
        <v>Valid</v>
      </c>
      <c r="I97">
        <f>IF(COUNTIF(items_clean!$A:$A, D97)&gt;0, 1, 0)</f>
        <v>1</v>
      </c>
    </row>
    <row r="98" spans="1:9" x14ac:dyDescent="0.3">
      <c r="A98" s="1">
        <v>97</v>
      </c>
      <c r="B98" s="1" t="s">
        <v>236</v>
      </c>
      <c r="C98" s="4">
        <v>45334.56621527778</v>
      </c>
      <c r="D98" s="1" t="s">
        <v>96</v>
      </c>
      <c r="E98" s="3">
        <v>1</v>
      </c>
      <c r="F98" s="1" t="s">
        <v>165</v>
      </c>
      <c r="G98" s="1" t="s">
        <v>149</v>
      </c>
      <c r="H98" s="1" t="str">
        <f>IF(COUNTIF(items_clean!$A:$A, D98)&gt;0, "Valid", "Invalid")</f>
        <v>Valid</v>
      </c>
      <c r="I98">
        <f>IF(COUNTIF(items_clean!$A:$A, D98)&gt;0, 1, 0)</f>
        <v>1</v>
      </c>
    </row>
    <row r="99" spans="1:9" x14ac:dyDescent="0.3">
      <c r="A99" s="1">
        <v>98</v>
      </c>
      <c r="B99" s="1" t="s">
        <v>236</v>
      </c>
      <c r="C99" s="4">
        <v>45334.56621527778</v>
      </c>
      <c r="D99" s="1" t="s">
        <v>126</v>
      </c>
      <c r="E99" s="3">
        <v>1</v>
      </c>
      <c r="F99" s="1" t="s">
        <v>165</v>
      </c>
      <c r="G99" s="1" t="s">
        <v>778</v>
      </c>
      <c r="H99" s="1" t="str">
        <f>IF(COUNTIF(items_clean!$A:$A, D99)&gt;0, "Valid", "Invalid")</f>
        <v>Valid</v>
      </c>
      <c r="I99">
        <f>IF(COUNTIF(items_clean!$A:$A, D99)&gt;0, 1, 0)</f>
        <v>1</v>
      </c>
    </row>
    <row r="100" spans="1:9" x14ac:dyDescent="0.3">
      <c r="A100" s="1">
        <v>99</v>
      </c>
      <c r="B100" s="1" t="s">
        <v>237</v>
      </c>
      <c r="C100" s="4">
        <v>45334.580381944441</v>
      </c>
      <c r="D100" s="1" t="s">
        <v>131</v>
      </c>
      <c r="E100" s="3">
        <v>1</v>
      </c>
      <c r="F100" s="1" t="s">
        <v>145</v>
      </c>
      <c r="G100" s="1" t="s">
        <v>146</v>
      </c>
      <c r="H100" s="1" t="str">
        <f>IF(COUNTIF(items_clean!$A:$A, D100)&gt;0, "Valid", "Invalid")</f>
        <v>Valid</v>
      </c>
      <c r="I100">
        <f>IF(COUNTIF(items_clean!$A:$A, D100)&gt;0, 1, 0)</f>
        <v>1</v>
      </c>
    </row>
    <row r="101" spans="1:9" x14ac:dyDescent="0.3">
      <c r="A101" s="1">
        <v>100</v>
      </c>
      <c r="B101" s="1" t="s">
        <v>238</v>
      </c>
      <c r="C101" s="4">
        <v>45334.58699074074</v>
      </c>
      <c r="D101" s="1" t="s">
        <v>132</v>
      </c>
      <c r="E101" s="3">
        <v>1</v>
      </c>
      <c r="F101" s="1" t="s">
        <v>179</v>
      </c>
      <c r="G101" s="1" t="s">
        <v>149</v>
      </c>
      <c r="H101" s="1" t="str">
        <f>IF(COUNTIF(items_clean!$A:$A, D101)&gt;0, "Valid", "Invalid")</f>
        <v>Valid</v>
      </c>
      <c r="I101">
        <f>IF(COUNTIF(items_clean!$A:$A, D101)&gt;0, 1, 0)</f>
        <v>1</v>
      </c>
    </row>
    <row r="102" spans="1:9" x14ac:dyDescent="0.3">
      <c r="A102" s="1">
        <v>101</v>
      </c>
      <c r="B102" s="1" t="s">
        <v>239</v>
      </c>
      <c r="C102" s="4">
        <v>45334.595462962963</v>
      </c>
      <c r="D102" s="1" t="s">
        <v>104</v>
      </c>
      <c r="E102" s="3">
        <v>1</v>
      </c>
      <c r="F102" s="1" t="s">
        <v>151</v>
      </c>
      <c r="G102" s="1" t="s">
        <v>146</v>
      </c>
      <c r="H102" s="1" t="str">
        <f>IF(COUNTIF(items_clean!$A:$A, D102)&gt;0, "Valid", "Invalid")</f>
        <v>Valid</v>
      </c>
      <c r="I102">
        <f>IF(COUNTIF(items_clean!$A:$A, D102)&gt;0, 1, 0)</f>
        <v>1</v>
      </c>
    </row>
    <row r="103" spans="1:9" x14ac:dyDescent="0.3">
      <c r="A103" s="1">
        <v>102</v>
      </c>
      <c r="B103" s="1" t="s">
        <v>239</v>
      </c>
      <c r="C103" s="4">
        <v>45334.595462962963</v>
      </c>
      <c r="D103" s="1" t="s">
        <v>119</v>
      </c>
      <c r="E103" s="3">
        <v>1</v>
      </c>
      <c r="F103" s="1" t="s">
        <v>151</v>
      </c>
      <c r="G103" s="1" t="s">
        <v>778</v>
      </c>
      <c r="H103" s="1" t="str">
        <f>IF(COUNTIF(items_clean!$A:$A, D103)&gt;0, "Valid", "Invalid")</f>
        <v>Valid</v>
      </c>
      <c r="I103">
        <f>IF(COUNTIF(items_clean!$A:$A, D103)&gt;0, 1, 0)</f>
        <v>1</v>
      </c>
    </row>
    <row r="104" spans="1:9" x14ac:dyDescent="0.3">
      <c r="A104" s="1">
        <v>103</v>
      </c>
      <c r="B104" s="1" t="s">
        <v>240</v>
      </c>
      <c r="C104" s="4">
        <v>45334.604756944442</v>
      </c>
      <c r="D104" s="1" t="s">
        <v>128</v>
      </c>
      <c r="E104" s="3">
        <v>1</v>
      </c>
      <c r="F104" s="1" t="s">
        <v>148</v>
      </c>
      <c r="G104" s="1" t="s">
        <v>149</v>
      </c>
      <c r="H104" s="1" t="str">
        <f>IF(COUNTIF(items_clean!$A:$A, D104)&gt;0, "Valid", "Invalid")</f>
        <v>Valid</v>
      </c>
      <c r="I104">
        <f>IF(COUNTIF(items_clean!$A:$A, D104)&gt;0, 1, 0)</f>
        <v>1</v>
      </c>
    </row>
    <row r="105" spans="1:9" x14ac:dyDescent="0.3">
      <c r="A105" s="1">
        <v>104</v>
      </c>
      <c r="B105" s="1" t="s">
        <v>241</v>
      </c>
      <c r="C105" s="4">
        <v>45334.614629629628</v>
      </c>
      <c r="D105" s="1" t="s">
        <v>110</v>
      </c>
      <c r="E105" s="3">
        <v>1</v>
      </c>
      <c r="F105" s="1" t="s">
        <v>153</v>
      </c>
      <c r="G105" s="1" t="s">
        <v>149</v>
      </c>
      <c r="H105" s="1" t="str">
        <f>IF(COUNTIF(items_clean!$A:$A, D105)&gt;0, "Valid", "Invalid")</f>
        <v>Valid</v>
      </c>
      <c r="I105">
        <f>IF(COUNTIF(items_clean!$A:$A, D105)&gt;0, 1, 0)</f>
        <v>1</v>
      </c>
    </row>
    <row r="106" spans="1:9" x14ac:dyDescent="0.3">
      <c r="A106" s="1">
        <v>105</v>
      </c>
      <c r="B106" s="1" t="s">
        <v>241</v>
      </c>
      <c r="C106" s="4">
        <v>45334.614629629628</v>
      </c>
      <c r="D106" s="1" t="s">
        <v>116</v>
      </c>
      <c r="E106" s="3">
        <v>1</v>
      </c>
      <c r="F106" s="1" t="s">
        <v>153</v>
      </c>
      <c r="G106" s="1" t="s">
        <v>778</v>
      </c>
      <c r="H106" s="1" t="str">
        <f>IF(COUNTIF(items_clean!$A:$A, D106)&gt;0, "Valid", "Invalid")</f>
        <v>Valid</v>
      </c>
      <c r="I106">
        <f>IF(COUNTIF(items_clean!$A:$A, D106)&gt;0, 1, 0)</f>
        <v>1</v>
      </c>
    </row>
    <row r="107" spans="1:9" x14ac:dyDescent="0.3">
      <c r="A107" s="1">
        <v>106</v>
      </c>
      <c r="B107" s="1" t="s">
        <v>242</v>
      </c>
      <c r="C107" s="4">
        <v>45334.625335648147</v>
      </c>
      <c r="D107" s="1" t="s">
        <v>119</v>
      </c>
      <c r="E107" s="3">
        <v>1</v>
      </c>
      <c r="F107" s="1" t="s">
        <v>159</v>
      </c>
      <c r="G107" s="1" t="s">
        <v>146</v>
      </c>
      <c r="H107" s="1" t="str">
        <f>IF(COUNTIF(items_clean!$A:$A, D107)&gt;0, "Valid", "Invalid")</f>
        <v>Valid</v>
      </c>
      <c r="I107">
        <f>IF(COUNTIF(items_clean!$A:$A, D107)&gt;0, 1, 0)</f>
        <v>1</v>
      </c>
    </row>
    <row r="108" spans="1:9" x14ac:dyDescent="0.3">
      <c r="A108" s="1">
        <v>107</v>
      </c>
      <c r="B108" s="1" t="s">
        <v>243</v>
      </c>
      <c r="C108" s="4">
        <v>45334.639374999999</v>
      </c>
      <c r="D108" s="1" t="s">
        <v>113</v>
      </c>
      <c r="E108" s="3">
        <v>1</v>
      </c>
      <c r="F108" s="1" t="s">
        <v>155</v>
      </c>
      <c r="G108" s="1" t="s">
        <v>149</v>
      </c>
      <c r="H108" s="1" t="str">
        <f>IF(COUNTIF(items_clean!$A:$A, D108)&gt;0, "Valid", "Invalid")</f>
        <v>Valid</v>
      </c>
      <c r="I108">
        <f>IF(COUNTIF(items_clean!$A:$A, D108)&gt;0, 1, 0)</f>
        <v>1</v>
      </c>
    </row>
    <row r="109" spans="1:9" x14ac:dyDescent="0.3">
      <c r="A109" s="1">
        <v>108</v>
      </c>
      <c r="B109" s="1" t="s">
        <v>243</v>
      </c>
      <c r="C109" s="4">
        <v>45334.639374999999</v>
      </c>
      <c r="D109" s="1" t="s">
        <v>102</v>
      </c>
      <c r="E109" s="3">
        <v>1</v>
      </c>
      <c r="F109" s="1" t="s">
        <v>155</v>
      </c>
      <c r="G109" s="1" t="s">
        <v>778</v>
      </c>
      <c r="H109" s="1" t="str">
        <f>IF(COUNTIF(items_clean!$A:$A, D109)&gt;0, "Valid", "Invalid")</f>
        <v>Valid</v>
      </c>
      <c r="I109">
        <f>IF(COUNTIF(items_clean!$A:$A, D109)&gt;0, 1, 0)</f>
        <v>1</v>
      </c>
    </row>
    <row r="110" spans="1:9" x14ac:dyDescent="0.3">
      <c r="A110" s="1">
        <v>109</v>
      </c>
      <c r="B110" s="1" t="s">
        <v>244</v>
      </c>
      <c r="C110" s="4">
        <v>45334.652870370373</v>
      </c>
      <c r="D110" s="1" t="s">
        <v>121</v>
      </c>
      <c r="E110" s="3">
        <v>1</v>
      </c>
      <c r="F110" s="1" t="s">
        <v>157</v>
      </c>
      <c r="G110" s="1" t="s">
        <v>146</v>
      </c>
      <c r="H110" s="1" t="str">
        <f>IF(COUNTIF(items_clean!$A:$A, D110)&gt;0, "Valid", "Invalid")</f>
        <v>Valid</v>
      </c>
      <c r="I110">
        <f>IF(COUNTIF(items_clean!$A:$A, D110)&gt;0, 1, 0)</f>
        <v>1</v>
      </c>
    </row>
    <row r="111" spans="1:9" x14ac:dyDescent="0.3">
      <c r="A111" s="1">
        <v>110</v>
      </c>
      <c r="B111" s="1" t="s">
        <v>244</v>
      </c>
      <c r="C111" s="4">
        <v>45334.652916666666</v>
      </c>
      <c r="D111" s="1" t="s">
        <v>134</v>
      </c>
      <c r="E111" s="3">
        <v>1</v>
      </c>
      <c r="F111" s="1" t="s">
        <v>157</v>
      </c>
      <c r="G111" s="1" t="s">
        <v>778</v>
      </c>
      <c r="H111" s="1" t="str">
        <f>IF(COUNTIF(items_clean!$A:$A, D111)&gt;0, "Valid", "Invalid")</f>
        <v>Valid</v>
      </c>
      <c r="I111">
        <f>IF(COUNTIF(items_clean!$A:$A, D111)&gt;0, 1, 0)</f>
        <v>1</v>
      </c>
    </row>
    <row r="112" spans="1:9" x14ac:dyDescent="0.3">
      <c r="A112" s="1">
        <v>111</v>
      </c>
      <c r="B112" s="1" t="s">
        <v>245</v>
      </c>
      <c r="C112" s="4">
        <v>45334.666932870372</v>
      </c>
      <c r="D112" s="1" t="s">
        <v>105</v>
      </c>
      <c r="E112" s="3">
        <v>1</v>
      </c>
      <c r="F112" s="1" t="s">
        <v>167</v>
      </c>
      <c r="G112" s="1" t="s">
        <v>146</v>
      </c>
      <c r="H112" s="1" t="str">
        <f>IF(COUNTIF(items_clean!$A:$A, D112)&gt;0, "Valid", "Invalid")</f>
        <v>Valid</v>
      </c>
      <c r="I112">
        <f>IF(COUNTIF(items_clean!$A:$A, D112)&gt;0, 1, 0)</f>
        <v>1</v>
      </c>
    </row>
    <row r="113" spans="1:9" x14ac:dyDescent="0.3">
      <c r="A113" s="1">
        <v>112</v>
      </c>
      <c r="B113" s="1" t="s">
        <v>246</v>
      </c>
      <c r="C113" s="4">
        <v>45334.684421296297</v>
      </c>
      <c r="D113" s="1" t="s">
        <v>126</v>
      </c>
      <c r="E113" s="3">
        <v>1</v>
      </c>
      <c r="F113" s="1" t="s">
        <v>219</v>
      </c>
      <c r="G113" s="1" t="s">
        <v>146</v>
      </c>
      <c r="H113" s="1" t="str">
        <f>IF(COUNTIF(items_clean!$A:$A, D113)&gt;0, "Valid", "Invalid")</f>
        <v>Valid</v>
      </c>
      <c r="I113">
        <f>IF(COUNTIF(items_clean!$A:$A, D113)&gt;0, 1, 0)</f>
        <v>1</v>
      </c>
    </row>
    <row r="114" spans="1:9" x14ac:dyDescent="0.3">
      <c r="A114" s="1">
        <v>113</v>
      </c>
      <c r="B114" s="1" t="s">
        <v>247</v>
      </c>
      <c r="C114" s="4">
        <v>45334.701909722222</v>
      </c>
      <c r="D114" s="1" t="s">
        <v>118</v>
      </c>
      <c r="E114" s="3">
        <v>1</v>
      </c>
      <c r="F114" s="1" t="s">
        <v>163</v>
      </c>
      <c r="G114" s="1" t="s">
        <v>146</v>
      </c>
      <c r="H114" s="1" t="str">
        <f>IF(COUNTIF(items_clean!$A:$A, D114)&gt;0, "Valid", "Invalid")</f>
        <v>Valid</v>
      </c>
      <c r="I114">
        <f>IF(COUNTIF(items_clean!$A:$A, D114)&gt;0, 1, 0)</f>
        <v>1</v>
      </c>
    </row>
    <row r="115" spans="1:9" x14ac:dyDescent="0.3">
      <c r="A115" s="1">
        <v>114</v>
      </c>
      <c r="B115" s="1" t="s">
        <v>248</v>
      </c>
      <c r="C115" s="4">
        <v>45334.708854166667</v>
      </c>
      <c r="D115" s="1" t="s">
        <v>96</v>
      </c>
      <c r="E115" s="3">
        <v>1</v>
      </c>
      <c r="F115" s="1" t="s">
        <v>249</v>
      </c>
      <c r="G115" s="1" t="s">
        <v>146</v>
      </c>
      <c r="H115" s="1" t="str">
        <f>IF(COUNTIF(items_clean!$A:$A, D115)&gt;0, "Valid", "Invalid")</f>
        <v>Valid</v>
      </c>
      <c r="I115">
        <f>IF(COUNTIF(items_clean!$A:$A, D115)&gt;0, 1, 0)</f>
        <v>1</v>
      </c>
    </row>
    <row r="116" spans="1:9" x14ac:dyDescent="0.3">
      <c r="A116" s="1">
        <v>115</v>
      </c>
      <c r="B116" s="1" t="s">
        <v>250</v>
      </c>
      <c r="C116" s="4">
        <v>45335.301388888889</v>
      </c>
      <c r="D116" s="1" t="s">
        <v>100</v>
      </c>
      <c r="E116" s="3">
        <v>1</v>
      </c>
      <c r="F116" s="1" t="s">
        <v>251</v>
      </c>
      <c r="G116" s="1" t="s">
        <v>146</v>
      </c>
      <c r="H116" s="1" t="str">
        <f>IF(COUNTIF(items_clean!$A:$A, D116)&gt;0, "Valid", "Invalid")</f>
        <v>Valid</v>
      </c>
      <c r="I116">
        <f>IF(COUNTIF(items_clean!$A:$A, D116)&gt;0, 1, 0)</f>
        <v>1</v>
      </c>
    </row>
    <row r="117" spans="1:9" x14ac:dyDescent="0.3">
      <c r="A117" s="1">
        <v>116</v>
      </c>
      <c r="B117" s="1" t="s">
        <v>252</v>
      </c>
      <c r="C117" s="4">
        <v>45335.304861111108</v>
      </c>
      <c r="D117" s="1" t="s">
        <v>104</v>
      </c>
      <c r="E117" s="3">
        <v>1</v>
      </c>
      <c r="F117" s="1" t="s">
        <v>253</v>
      </c>
      <c r="G117" s="1" t="s">
        <v>149</v>
      </c>
      <c r="H117" s="1" t="str">
        <f>IF(COUNTIF(items_clean!$A:$A, D117)&gt;0, "Valid", "Invalid")</f>
        <v>Valid</v>
      </c>
      <c r="I117">
        <f>IF(COUNTIF(items_clean!$A:$A, D117)&gt;0, 1, 0)</f>
        <v>1</v>
      </c>
    </row>
    <row r="118" spans="1:9" x14ac:dyDescent="0.3">
      <c r="A118" s="1">
        <v>117</v>
      </c>
      <c r="B118" s="1" t="s">
        <v>252</v>
      </c>
      <c r="C118" s="4">
        <v>45335.304861111108</v>
      </c>
      <c r="D118" s="1" t="s">
        <v>254</v>
      </c>
      <c r="E118" s="3">
        <v>1</v>
      </c>
      <c r="F118" s="1" t="s">
        <v>253</v>
      </c>
      <c r="G118" s="1" t="s">
        <v>778</v>
      </c>
      <c r="H118" s="1" t="str">
        <f>IF(COUNTIF(items_clean!$A:$A, D118)&gt;0, "Valid", "Invalid")</f>
        <v>Invalid</v>
      </c>
      <c r="I118">
        <f>IF(COUNTIF(items_clean!$A:$A, D118)&gt;0, 1, 0)</f>
        <v>0</v>
      </c>
    </row>
    <row r="119" spans="1:9" x14ac:dyDescent="0.3">
      <c r="A119" s="1">
        <v>118</v>
      </c>
      <c r="B119" s="1" t="s">
        <v>255</v>
      </c>
      <c r="C119" s="4">
        <v>45335.308333333334</v>
      </c>
      <c r="D119" s="1" t="s">
        <v>126</v>
      </c>
      <c r="E119" s="3">
        <v>1</v>
      </c>
      <c r="F119" s="1" t="s">
        <v>256</v>
      </c>
      <c r="G119" s="1" t="s">
        <v>146</v>
      </c>
      <c r="H119" s="1" t="str">
        <f>IF(COUNTIF(items_clean!$A:$A, D119)&gt;0, "Valid", "Invalid")</f>
        <v>Valid</v>
      </c>
      <c r="I119">
        <f>IF(COUNTIF(items_clean!$A:$A, D119)&gt;0, 1, 0)</f>
        <v>1</v>
      </c>
    </row>
    <row r="120" spans="1:9" x14ac:dyDescent="0.3">
      <c r="A120" s="1">
        <v>119</v>
      </c>
      <c r="B120" s="1" t="s">
        <v>257</v>
      </c>
      <c r="C120" s="4">
        <v>45335.3125</v>
      </c>
      <c r="D120" s="1" t="s">
        <v>135</v>
      </c>
      <c r="E120" s="3">
        <v>1</v>
      </c>
      <c r="F120" s="1" t="s">
        <v>145</v>
      </c>
      <c r="G120" s="1" t="s">
        <v>149</v>
      </c>
      <c r="H120" s="1" t="str">
        <f>IF(COUNTIF(items_clean!$A:$A, D120)&gt;0, "Valid", "Invalid")</f>
        <v>Valid</v>
      </c>
      <c r="I120">
        <f>IF(COUNTIF(items_clean!$A:$A, D120)&gt;0, 1, 0)</f>
        <v>1</v>
      </c>
    </row>
    <row r="121" spans="1:9" x14ac:dyDescent="0.3">
      <c r="A121" s="1">
        <v>120</v>
      </c>
      <c r="B121" s="1" t="s">
        <v>257</v>
      </c>
      <c r="C121" s="4">
        <v>45335.3125</v>
      </c>
      <c r="D121" s="1" t="s">
        <v>116</v>
      </c>
      <c r="E121" s="3">
        <v>1</v>
      </c>
      <c r="F121" s="1" t="s">
        <v>145</v>
      </c>
      <c r="G121" s="1" t="s">
        <v>778</v>
      </c>
      <c r="H121" s="1" t="str">
        <f>IF(COUNTIF(items_clean!$A:$A, D121)&gt;0, "Valid", "Invalid")</f>
        <v>Valid</v>
      </c>
      <c r="I121">
        <f>IF(COUNTIF(items_clean!$A:$A, D121)&gt;0, 1, 0)</f>
        <v>1</v>
      </c>
    </row>
    <row r="122" spans="1:9" x14ac:dyDescent="0.3">
      <c r="A122" s="1">
        <v>121</v>
      </c>
      <c r="B122" s="1" t="s">
        <v>258</v>
      </c>
      <c r="C122" s="4">
        <v>45335.315972222219</v>
      </c>
      <c r="D122" s="1" t="s">
        <v>108</v>
      </c>
      <c r="E122" s="3">
        <v>1</v>
      </c>
      <c r="F122" s="1" t="s">
        <v>148</v>
      </c>
      <c r="G122" s="1" t="s">
        <v>146</v>
      </c>
      <c r="H122" s="1" t="str">
        <f>IF(COUNTIF(items_clean!$A:$A, D122)&gt;0, "Valid", "Invalid")</f>
        <v>Valid</v>
      </c>
      <c r="I122">
        <f>IF(COUNTIF(items_clean!$A:$A, D122)&gt;0, 1, 0)</f>
        <v>1</v>
      </c>
    </row>
    <row r="123" spans="1:9" x14ac:dyDescent="0.3">
      <c r="A123" s="1">
        <v>122</v>
      </c>
      <c r="B123" s="1" t="s">
        <v>259</v>
      </c>
      <c r="C123" s="4">
        <v>45335.319444444445</v>
      </c>
      <c r="D123" s="1" t="s">
        <v>132</v>
      </c>
      <c r="E123" s="3">
        <v>1</v>
      </c>
      <c r="F123" s="1" t="s">
        <v>151</v>
      </c>
      <c r="G123" s="1" t="s">
        <v>149</v>
      </c>
      <c r="H123" s="1" t="str">
        <f>IF(COUNTIF(items_clean!$A:$A, D123)&gt;0, "Valid", "Invalid")</f>
        <v>Valid</v>
      </c>
      <c r="I123">
        <f>IF(COUNTIF(items_clean!$A:$A, D123)&gt;0, 1, 0)</f>
        <v>1</v>
      </c>
    </row>
    <row r="124" spans="1:9" x14ac:dyDescent="0.3">
      <c r="A124" s="1">
        <v>123</v>
      </c>
      <c r="B124" s="1" t="s">
        <v>260</v>
      </c>
      <c r="C124" s="4">
        <v>45335.322916666664</v>
      </c>
      <c r="D124" s="1" t="s">
        <v>122</v>
      </c>
      <c r="E124" s="3">
        <v>1</v>
      </c>
      <c r="F124" s="1" t="s">
        <v>153</v>
      </c>
      <c r="G124" s="1" t="s">
        <v>146</v>
      </c>
      <c r="H124" s="1" t="str">
        <f>IF(COUNTIF(items_clean!$A:$A, D124)&gt;0, "Valid", "Invalid")</f>
        <v>Valid</v>
      </c>
      <c r="I124">
        <f>IF(COUNTIF(items_clean!$A:$A, D124)&gt;0, 1, 0)</f>
        <v>1</v>
      </c>
    </row>
    <row r="125" spans="1:9" x14ac:dyDescent="0.3">
      <c r="A125" s="1">
        <v>124</v>
      </c>
      <c r="B125" s="1" t="s">
        <v>261</v>
      </c>
      <c r="C125" s="4">
        <v>45335.326388888891</v>
      </c>
      <c r="D125" s="1" t="s">
        <v>111</v>
      </c>
      <c r="E125" s="3">
        <v>1</v>
      </c>
      <c r="F125" s="1" t="s">
        <v>155</v>
      </c>
      <c r="G125" s="1" t="s">
        <v>149</v>
      </c>
      <c r="H125" s="1" t="str">
        <f>IF(COUNTIF(items_clean!$A:$A, D125)&gt;0, "Valid", "Invalid")</f>
        <v>Valid</v>
      </c>
      <c r="I125">
        <f>IF(COUNTIF(items_clean!$A:$A, D125)&gt;0, 1, 0)</f>
        <v>1</v>
      </c>
    </row>
    <row r="126" spans="1:9" x14ac:dyDescent="0.3">
      <c r="A126" s="1">
        <v>125</v>
      </c>
      <c r="B126" s="1" t="s">
        <v>261</v>
      </c>
      <c r="C126" s="4">
        <v>45335.326388888891</v>
      </c>
      <c r="D126" s="1" t="s">
        <v>138</v>
      </c>
      <c r="E126" s="3">
        <v>1</v>
      </c>
      <c r="F126" s="1" t="s">
        <v>155</v>
      </c>
      <c r="G126" s="1" t="s">
        <v>778</v>
      </c>
      <c r="H126" s="1" t="str">
        <f>IF(COUNTIF(items_clean!$A:$A, D126)&gt;0, "Valid", "Invalid")</f>
        <v>Valid</v>
      </c>
      <c r="I126">
        <f>IF(COUNTIF(items_clean!$A:$A, D126)&gt;0, 1, 0)</f>
        <v>1</v>
      </c>
    </row>
    <row r="127" spans="1:9" x14ac:dyDescent="0.3">
      <c r="A127" s="1">
        <v>126</v>
      </c>
      <c r="B127" s="1" t="s">
        <v>262</v>
      </c>
      <c r="C127" s="4">
        <v>45335.330555555556</v>
      </c>
      <c r="D127" s="1" t="s">
        <v>96</v>
      </c>
      <c r="E127" s="3">
        <v>1</v>
      </c>
      <c r="F127" s="1" t="s">
        <v>157</v>
      </c>
      <c r="G127" s="1" t="s">
        <v>146</v>
      </c>
      <c r="H127" s="1" t="str">
        <f>IF(COUNTIF(items_clean!$A:$A, D127)&gt;0, "Valid", "Invalid")</f>
        <v>Valid</v>
      </c>
      <c r="I127">
        <f>IF(COUNTIF(items_clean!$A:$A, D127)&gt;0, 1, 0)</f>
        <v>1</v>
      </c>
    </row>
    <row r="128" spans="1:9" x14ac:dyDescent="0.3">
      <c r="A128" s="1">
        <v>127</v>
      </c>
      <c r="B128" s="1" t="s">
        <v>263</v>
      </c>
      <c r="C128" s="4">
        <v>45335.334027777775</v>
      </c>
      <c r="D128" s="1" t="s">
        <v>129</v>
      </c>
      <c r="E128" s="3">
        <v>1</v>
      </c>
      <c r="F128" s="1" t="s">
        <v>159</v>
      </c>
      <c r="G128" s="1" t="s">
        <v>149</v>
      </c>
      <c r="H128" s="1" t="str">
        <f>IF(COUNTIF(items_clean!$A:$A, D128)&gt;0, "Valid", "Invalid")</f>
        <v>Valid</v>
      </c>
      <c r="I128">
        <f>IF(COUNTIF(items_clean!$A:$A, D128)&gt;0, 1, 0)</f>
        <v>1</v>
      </c>
    </row>
    <row r="129" spans="1:9" x14ac:dyDescent="0.3">
      <c r="A129" s="1">
        <v>128</v>
      </c>
      <c r="B129" s="1" t="s">
        <v>264</v>
      </c>
      <c r="C129" s="4">
        <v>45335.337500000001</v>
      </c>
      <c r="D129" s="1" t="s">
        <v>102</v>
      </c>
      <c r="E129" s="3">
        <v>1</v>
      </c>
      <c r="F129" s="1" t="s">
        <v>161</v>
      </c>
      <c r="G129" s="1" t="s">
        <v>146</v>
      </c>
      <c r="H129" s="1" t="str">
        <f>IF(COUNTIF(items_clean!$A:$A, D129)&gt;0, "Valid", "Invalid")</f>
        <v>Valid</v>
      </c>
      <c r="I129">
        <f>IF(COUNTIF(items_clean!$A:$A, D129)&gt;0, 1, 0)</f>
        <v>1</v>
      </c>
    </row>
    <row r="130" spans="1:9" x14ac:dyDescent="0.3">
      <c r="A130" s="1">
        <v>129</v>
      </c>
      <c r="B130" s="1" t="s">
        <v>264</v>
      </c>
      <c r="C130" s="4">
        <v>45335.337500000001</v>
      </c>
      <c r="D130" s="1" t="s">
        <v>265</v>
      </c>
      <c r="E130" s="3">
        <v>1</v>
      </c>
      <c r="F130" s="1" t="s">
        <v>161</v>
      </c>
      <c r="G130" s="1" t="s">
        <v>778</v>
      </c>
      <c r="H130" s="1" t="str">
        <f>IF(COUNTIF(items_clean!$A:$A, D130)&gt;0, "Valid", "Invalid")</f>
        <v>Invalid</v>
      </c>
      <c r="I130">
        <f>IF(COUNTIF(items_clean!$A:$A, D130)&gt;0, 1, 0)</f>
        <v>0</v>
      </c>
    </row>
    <row r="131" spans="1:9" x14ac:dyDescent="0.3">
      <c r="A131" s="1">
        <v>130</v>
      </c>
      <c r="B131" s="1" t="s">
        <v>266</v>
      </c>
      <c r="C131" s="4">
        <v>45335.34097222222</v>
      </c>
      <c r="D131" s="1" t="s">
        <v>134</v>
      </c>
      <c r="E131" s="3">
        <v>1</v>
      </c>
      <c r="F131" s="1" t="s">
        <v>163</v>
      </c>
      <c r="G131" s="1" t="s">
        <v>149</v>
      </c>
      <c r="H131" s="1" t="str">
        <f>IF(COUNTIF(items_clean!$A:$A, D131)&gt;0, "Valid", "Invalid")</f>
        <v>Valid</v>
      </c>
      <c r="I131">
        <f>IF(COUNTIF(items_clean!$A:$A, D131)&gt;0, 1, 0)</f>
        <v>1</v>
      </c>
    </row>
    <row r="132" spans="1:9" x14ac:dyDescent="0.3">
      <c r="A132" s="1">
        <v>131</v>
      </c>
      <c r="B132" s="1" t="s">
        <v>267</v>
      </c>
      <c r="C132" s="4">
        <v>45335.345138888886</v>
      </c>
      <c r="D132" s="1" t="s">
        <v>128</v>
      </c>
      <c r="E132" s="3">
        <v>1</v>
      </c>
      <c r="F132" s="1" t="s">
        <v>165</v>
      </c>
      <c r="G132" s="1" t="s">
        <v>146</v>
      </c>
      <c r="H132" s="1" t="str">
        <f>IF(COUNTIF(items_clean!$A:$A, D132)&gt;0, "Valid", "Invalid")</f>
        <v>Valid</v>
      </c>
      <c r="I132">
        <f>IF(COUNTIF(items_clean!$A:$A, D132)&gt;0, 1, 0)</f>
        <v>1</v>
      </c>
    </row>
    <row r="133" spans="1:9" x14ac:dyDescent="0.3">
      <c r="A133" s="1">
        <v>132</v>
      </c>
      <c r="B133" s="1" t="s">
        <v>268</v>
      </c>
      <c r="C133" s="4">
        <v>45335.348611111112</v>
      </c>
      <c r="D133" s="1" t="s">
        <v>105</v>
      </c>
      <c r="E133" s="3">
        <v>1</v>
      </c>
      <c r="F133" s="1" t="s">
        <v>167</v>
      </c>
      <c r="G133" s="1" t="s">
        <v>149</v>
      </c>
      <c r="H133" s="1" t="str">
        <f>IF(COUNTIF(items_clean!$A:$A, D133)&gt;0, "Valid", "Invalid")</f>
        <v>Valid</v>
      </c>
      <c r="I133">
        <f>IF(COUNTIF(items_clean!$A:$A, D133)&gt;0, 1, 0)</f>
        <v>1</v>
      </c>
    </row>
    <row r="134" spans="1:9" x14ac:dyDescent="0.3">
      <c r="A134" s="1">
        <v>133</v>
      </c>
      <c r="B134" s="1" t="s">
        <v>268</v>
      </c>
      <c r="C134" s="4">
        <v>45335.348611111112</v>
      </c>
      <c r="D134" s="1" t="s">
        <v>118</v>
      </c>
      <c r="E134" s="3">
        <v>1</v>
      </c>
      <c r="F134" s="1" t="s">
        <v>167</v>
      </c>
      <c r="G134" s="1" t="s">
        <v>778</v>
      </c>
      <c r="H134" s="1" t="str">
        <f>IF(COUNTIF(items_clean!$A:$A, D134)&gt;0, "Valid", "Invalid")</f>
        <v>Valid</v>
      </c>
      <c r="I134">
        <f>IF(COUNTIF(items_clean!$A:$A, D134)&gt;0, 1, 0)</f>
        <v>1</v>
      </c>
    </row>
    <row r="135" spans="1:9" x14ac:dyDescent="0.3">
      <c r="A135" s="1">
        <v>134</v>
      </c>
      <c r="B135" s="1" t="s">
        <v>269</v>
      </c>
      <c r="C135" s="4">
        <v>45335.352083333331</v>
      </c>
      <c r="D135" s="1" t="s">
        <v>115</v>
      </c>
      <c r="E135" s="3">
        <v>1</v>
      </c>
      <c r="F135" s="1" t="s">
        <v>249</v>
      </c>
      <c r="G135" s="1" t="s">
        <v>146</v>
      </c>
      <c r="H135" s="1" t="str">
        <f>IF(COUNTIF(items_clean!$A:$A, D135)&gt;0, "Valid", "Invalid")</f>
        <v>Valid</v>
      </c>
      <c r="I135">
        <f>IF(COUNTIF(items_clean!$A:$A, D135)&gt;0, 1, 0)</f>
        <v>1</v>
      </c>
    </row>
    <row r="136" spans="1:9" x14ac:dyDescent="0.3">
      <c r="A136" s="1">
        <v>135</v>
      </c>
      <c r="B136" s="1" t="s">
        <v>270</v>
      </c>
      <c r="C136" s="4">
        <v>45335.355555555558</v>
      </c>
      <c r="D136" s="1" t="s">
        <v>110</v>
      </c>
      <c r="E136" s="3">
        <v>1</v>
      </c>
      <c r="F136" s="1" t="s">
        <v>145</v>
      </c>
      <c r="G136" s="1" t="s">
        <v>149</v>
      </c>
      <c r="H136" s="1" t="str">
        <f>IF(COUNTIF(items_clean!$A:$A, D136)&gt;0, "Valid", "Invalid")</f>
        <v>Valid</v>
      </c>
      <c r="I136">
        <f>IF(COUNTIF(items_clean!$A:$A, D136)&gt;0, 1, 0)</f>
        <v>1</v>
      </c>
    </row>
    <row r="137" spans="1:9" x14ac:dyDescent="0.3">
      <c r="A137" s="1">
        <v>136</v>
      </c>
      <c r="B137" s="1" t="s">
        <v>271</v>
      </c>
      <c r="C137" s="4">
        <v>45335.359722222223</v>
      </c>
      <c r="D137" s="1" t="s">
        <v>272</v>
      </c>
      <c r="E137" s="3">
        <v>1</v>
      </c>
      <c r="F137" s="1" t="s">
        <v>256</v>
      </c>
      <c r="G137" s="1" t="s">
        <v>146</v>
      </c>
      <c r="H137" s="1" t="str">
        <f>IF(COUNTIF(items_clean!$A:$A, D137)&gt;0, "Valid", "Invalid")</f>
        <v>Invalid</v>
      </c>
      <c r="I137">
        <f>IF(COUNTIF(items_clean!$A:$A, D137)&gt;0, 1, 0)</f>
        <v>0</v>
      </c>
    </row>
    <row r="138" spans="1:9" x14ac:dyDescent="0.3">
      <c r="A138" s="1">
        <v>137</v>
      </c>
      <c r="B138" s="1" t="s">
        <v>271</v>
      </c>
      <c r="C138" s="4">
        <v>45335.359722222223</v>
      </c>
      <c r="D138" s="1" t="s">
        <v>131</v>
      </c>
      <c r="E138" s="3">
        <v>1</v>
      </c>
      <c r="F138" s="1" t="s">
        <v>256</v>
      </c>
      <c r="G138" s="1" t="s">
        <v>778</v>
      </c>
      <c r="H138" s="1" t="str">
        <f>IF(COUNTIF(items_clean!$A:$A, D138)&gt;0, "Valid", "Invalid")</f>
        <v>Valid</v>
      </c>
      <c r="I138">
        <f>IF(COUNTIF(items_clean!$A:$A, D138)&gt;0, 1, 0)</f>
        <v>1</v>
      </c>
    </row>
    <row r="139" spans="1:9" x14ac:dyDescent="0.3">
      <c r="A139" s="1">
        <v>138</v>
      </c>
      <c r="B139" s="1" t="s">
        <v>273</v>
      </c>
      <c r="C139" s="4">
        <v>45335.363194444442</v>
      </c>
      <c r="D139" s="1" t="s">
        <v>121</v>
      </c>
      <c r="E139" s="3">
        <v>1</v>
      </c>
      <c r="F139" s="1" t="s">
        <v>253</v>
      </c>
      <c r="G139" s="1" t="s">
        <v>149</v>
      </c>
      <c r="H139" s="1" t="str">
        <f>IF(COUNTIF(items_clean!$A:$A, D139)&gt;0, "Valid", "Invalid")</f>
        <v>Valid</v>
      </c>
      <c r="I139">
        <f>IF(COUNTIF(items_clean!$A:$A, D139)&gt;0, 1, 0)</f>
        <v>1</v>
      </c>
    </row>
    <row r="140" spans="1:9" x14ac:dyDescent="0.3">
      <c r="A140" s="1">
        <v>139</v>
      </c>
      <c r="B140" s="1" t="s">
        <v>274</v>
      </c>
      <c r="C140" s="4">
        <v>45335.366666666669</v>
      </c>
      <c r="D140" s="1" t="s">
        <v>113</v>
      </c>
      <c r="E140" s="3">
        <v>1</v>
      </c>
      <c r="F140" s="1" t="s">
        <v>148</v>
      </c>
      <c r="G140" s="1" t="s">
        <v>146</v>
      </c>
      <c r="H140" s="1" t="str">
        <f>IF(COUNTIF(items_clean!$A:$A, D140)&gt;0, "Valid", "Invalid")</f>
        <v>Valid</v>
      </c>
      <c r="I140">
        <f>IF(COUNTIF(items_clean!$A:$A, D140)&gt;0, 1, 0)</f>
        <v>1</v>
      </c>
    </row>
    <row r="141" spans="1:9" x14ac:dyDescent="0.3">
      <c r="A141" s="1">
        <v>140</v>
      </c>
      <c r="B141" s="1" t="s">
        <v>275</v>
      </c>
      <c r="C141" s="4">
        <v>45335.370138888888</v>
      </c>
      <c r="D141" s="1" t="s">
        <v>100</v>
      </c>
      <c r="E141" s="3">
        <v>1</v>
      </c>
      <c r="F141" s="1" t="s">
        <v>151</v>
      </c>
      <c r="G141" s="1" t="s">
        <v>149</v>
      </c>
      <c r="H141" s="1" t="str">
        <f>IF(COUNTIF(items_clean!$A:$A, D141)&gt;0, "Valid", "Invalid")</f>
        <v>Valid</v>
      </c>
      <c r="I141">
        <f>IF(COUNTIF(items_clean!$A:$A, D141)&gt;0, 1, 0)</f>
        <v>1</v>
      </c>
    </row>
    <row r="142" spans="1:9" x14ac:dyDescent="0.3">
      <c r="A142" s="1">
        <v>141</v>
      </c>
      <c r="B142" s="1" t="s">
        <v>275</v>
      </c>
      <c r="C142" s="4">
        <v>45335.370138888888</v>
      </c>
      <c r="D142" s="1" t="s">
        <v>125</v>
      </c>
      <c r="E142" s="3">
        <v>1</v>
      </c>
      <c r="F142" s="1" t="s">
        <v>151</v>
      </c>
      <c r="G142" s="1" t="s">
        <v>778</v>
      </c>
      <c r="H142" s="1" t="str">
        <f>IF(COUNTIF(items_clean!$A:$A, D142)&gt;0, "Valid", "Invalid")</f>
        <v>Valid</v>
      </c>
      <c r="I142">
        <f>IF(COUNTIF(items_clean!$A:$A, D142)&gt;0, 1, 0)</f>
        <v>1</v>
      </c>
    </row>
    <row r="143" spans="1:9" x14ac:dyDescent="0.3">
      <c r="A143" s="1">
        <v>142</v>
      </c>
      <c r="B143" s="1" t="s">
        <v>276</v>
      </c>
      <c r="C143" s="4">
        <v>45335.373611111114</v>
      </c>
      <c r="D143" s="1" t="s">
        <v>119</v>
      </c>
      <c r="E143" s="3">
        <v>1</v>
      </c>
      <c r="F143" s="1" t="s">
        <v>153</v>
      </c>
      <c r="G143" s="1" t="s">
        <v>146</v>
      </c>
      <c r="H143" s="1" t="str">
        <f>IF(COUNTIF(items_clean!$A:$A, D143)&gt;0, "Valid", "Invalid")</f>
        <v>Valid</v>
      </c>
      <c r="I143">
        <f>IF(COUNTIF(items_clean!$A:$A, D143)&gt;0, 1, 0)</f>
        <v>1</v>
      </c>
    </row>
    <row r="144" spans="1:9" x14ac:dyDescent="0.3">
      <c r="A144" s="1">
        <v>143</v>
      </c>
      <c r="B144" s="1" t="s">
        <v>277</v>
      </c>
      <c r="C144" s="4">
        <v>45335.37777777778</v>
      </c>
      <c r="D144" s="1" t="s">
        <v>278</v>
      </c>
      <c r="E144" s="3">
        <v>1</v>
      </c>
      <c r="F144" s="1" t="s">
        <v>155</v>
      </c>
      <c r="G144" s="1" t="s">
        <v>149</v>
      </c>
      <c r="H144" s="1" t="str">
        <f>IF(COUNTIF(items_clean!$A:$A, D144)&gt;0, "Valid", "Invalid")</f>
        <v>Invalid</v>
      </c>
      <c r="I144">
        <f>IF(COUNTIF(items_clean!$A:$A, D144)&gt;0, 1, 0)</f>
        <v>0</v>
      </c>
    </row>
    <row r="145" spans="1:9" x14ac:dyDescent="0.3">
      <c r="A145" s="1">
        <v>144</v>
      </c>
      <c r="B145" s="1" t="s">
        <v>279</v>
      </c>
      <c r="C145" s="4">
        <v>45335.381249999999</v>
      </c>
      <c r="D145" s="1" t="s">
        <v>104</v>
      </c>
      <c r="E145" s="3">
        <v>1</v>
      </c>
      <c r="F145" s="1" t="s">
        <v>157</v>
      </c>
      <c r="G145" s="1" t="s">
        <v>146</v>
      </c>
      <c r="H145" s="1" t="str">
        <f>IF(COUNTIF(items_clean!$A:$A, D145)&gt;0, "Valid", "Invalid")</f>
        <v>Valid</v>
      </c>
      <c r="I145">
        <f>IF(COUNTIF(items_clean!$A:$A, D145)&gt;0, 1, 0)</f>
        <v>1</v>
      </c>
    </row>
    <row r="146" spans="1:9" x14ac:dyDescent="0.3">
      <c r="A146" s="1">
        <v>145</v>
      </c>
      <c r="B146" s="1" t="s">
        <v>280</v>
      </c>
      <c r="C146" s="4">
        <v>45335.384722222225</v>
      </c>
      <c r="D146" s="1" t="s">
        <v>132</v>
      </c>
      <c r="E146" s="3">
        <v>1</v>
      </c>
      <c r="F146" s="1" t="s">
        <v>159</v>
      </c>
      <c r="G146" s="1" t="s">
        <v>149</v>
      </c>
      <c r="H146" s="1" t="str">
        <f>IF(COUNTIF(items_clean!$A:$A, D146)&gt;0, "Valid", "Invalid")</f>
        <v>Valid</v>
      </c>
      <c r="I146">
        <f>IF(COUNTIF(items_clean!$A:$A, D146)&gt;0, 1, 0)</f>
        <v>1</v>
      </c>
    </row>
    <row r="147" spans="1:9" x14ac:dyDescent="0.3">
      <c r="A147" s="1">
        <v>146</v>
      </c>
      <c r="B147" s="1" t="s">
        <v>281</v>
      </c>
      <c r="C147" s="4">
        <v>45335.388194444444</v>
      </c>
      <c r="D147" s="1" t="s">
        <v>108</v>
      </c>
      <c r="E147" s="3">
        <v>1</v>
      </c>
      <c r="F147" s="1" t="s">
        <v>161</v>
      </c>
      <c r="G147" s="1" t="s">
        <v>146</v>
      </c>
      <c r="H147" s="1" t="str">
        <f>IF(COUNTIF(items_clean!$A:$A, D147)&gt;0, "Valid", "Invalid")</f>
        <v>Valid</v>
      </c>
      <c r="I147">
        <f>IF(COUNTIF(items_clean!$A:$A, D147)&gt;0, 1, 0)</f>
        <v>1</v>
      </c>
    </row>
    <row r="148" spans="1:9" x14ac:dyDescent="0.3">
      <c r="A148" s="1">
        <v>147</v>
      </c>
      <c r="B148" s="1" t="s">
        <v>282</v>
      </c>
      <c r="C148" s="4">
        <v>45335.392361111109</v>
      </c>
      <c r="D148" s="1" t="s">
        <v>129</v>
      </c>
      <c r="E148" s="3">
        <v>1</v>
      </c>
      <c r="F148" s="1" t="s">
        <v>163</v>
      </c>
      <c r="G148" s="1" t="s">
        <v>149</v>
      </c>
      <c r="H148" s="1" t="str">
        <f>IF(COUNTIF(items_clean!$A:$A, D148)&gt;0, "Valid", "Invalid")</f>
        <v>Valid</v>
      </c>
      <c r="I148">
        <f>IF(COUNTIF(items_clean!$A:$A, D148)&gt;0, 1, 0)</f>
        <v>1</v>
      </c>
    </row>
    <row r="149" spans="1:9" x14ac:dyDescent="0.3">
      <c r="A149" s="1">
        <v>148</v>
      </c>
      <c r="B149" s="1" t="s">
        <v>283</v>
      </c>
      <c r="C149" s="4">
        <v>45335.395833333336</v>
      </c>
      <c r="D149" s="1" t="s">
        <v>102</v>
      </c>
      <c r="E149" s="3">
        <v>1</v>
      </c>
      <c r="F149" s="1" t="s">
        <v>165</v>
      </c>
      <c r="G149" s="1" t="s">
        <v>146</v>
      </c>
      <c r="H149" s="1" t="str">
        <f>IF(COUNTIF(items_clean!$A:$A, D149)&gt;0, "Valid", "Invalid")</f>
        <v>Valid</v>
      </c>
      <c r="I149">
        <f>IF(COUNTIF(items_clean!$A:$A, D149)&gt;0, 1, 0)</f>
        <v>1</v>
      </c>
    </row>
    <row r="150" spans="1:9" x14ac:dyDescent="0.3">
      <c r="A150" s="1">
        <v>149</v>
      </c>
      <c r="B150" s="1" t="s">
        <v>284</v>
      </c>
      <c r="C150" s="4">
        <v>45335.399305555555</v>
      </c>
      <c r="D150" s="1" t="s">
        <v>134</v>
      </c>
      <c r="E150" s="3">
        <v>1</v>
      </c>
      <c r="F150" s="1" t="s">
        <v>167</v>
      </c>
      <c r="G150" s="1" t="s">
        <v>149</v>
      </c>
      <c r="H150" s="1" t="str">
        <f>IF(COUNTIF(items_clean!$A:$A, D150)&gt;0, "Valid", "Invalid")</f>
        <v>Valid</v>
      </c>
      <c r="I150">
        <f>IF(COUNTIF(items_clean!$A:$A, D150)&gt;0, 1, 0)</f>
        <v>1</v>
      </c>
    </row>
    <row r="151" spans="1:9" x14ac:dyDescent="0.3">
      <c r="A151" s="1">
        <v>150</v>
      </c>
      <c r="B151" s="1" t="s">
        <v>284</v>
      </c>
      <c r="C151" s="4">
        <v>45335.399305555555</v>
      </c>
      <c r="D151" s="1" t="s">
        <v>118</v>
      </c>
      <c r="E151" s="3">
        <v>1</v>
      </c>
      <c r="F151" s="1" t="s">
        <v>167</v>
      </c>
      <c r="G151" s="1" t="s">
        <v>778</v>
      </c>
      <c r="H151" s="1" t="str">
        <f>IF(COUNTIF(items_clean!$A:$A, D151)&gt;0, "Valid", "Invalid")</f>
        <v>Valid</v>
      </c>
      <c r="I151">
        <f>IF(COUNTIF(items_clean!$A:$A, D151)&gt;0, 1, 0)</f>
        <v>1</v>
      </c>
    </row>
    <row r="152" spans="1:9" x14ac:dyDescent="0.3">
      <c r="A152" s="1">
        <v>151</v>
      </c>
      <c r="B152" s="1" t="s">
        <v>285</v>
      </c>
      <c r="C152" s="4">
        <v>45335.402777777781</v>
      </c>
      <c r="D152" s="1" t="s">
        <v>128</v>
      </c>
      <c r="E152" s="3">
        <v>1</v>
      </c>
      <c r="F152" s="1" t="s">
        <v>249</v>
      </c>
      <c r="G152" s="1" t="s">
        <v>146</v>
      </c>
      <c r="H152" s="1" t="str">
        <f>IF(COUNTIF(items_clean!$A:$A, D152)&gt;0, "Valid", "Invalid")</f>
        <v>Valid</v>
      </c>
      <c r="I152">
        <f>IF(COUNTIF(items_clean!$A:$A, D152)&gt;0, 1, 0)</f>
        <v>1</v>
      </c>
    </row>
    <row r="153" spans="1:9" x14ac:dyDescent="0.3">
      <c r="A153" s="1">
        <v>152</v>
      </c>
      <c r="B153" s="1" t="s">
        <v>286</v>
      </c>
      <c r="C153" s="4">
        <v>45335.406944444447</v>
      </c>
      <c r="D153" s="1" t="s">
        <v>105</v>
      </c>
      <c r="E153" s="3">
        <v>1</v>
      </c>
      <c r="F153" s="1" t="s">
        <v>145</v>
      </c>
      <c r="G153" s="1" t="s">
        <v>149</v>
      </c>
      <c r="H153" s="1" t="str">
        <f>IF(COUNTIF(items_clean!$A:$A, D153)&gt;0, "Valid", "Invalid")</f>
        <v>Valid</v>
      </c>
      <c r="I153">
        <f>IF(COUNTIF(items_clean!$A:$A, D153)&gt;0, 1, 0)</f>
        <v>1</v>
      </c>
    </row>
    <row r="154" spans="1:9" x14ac:dyDescent="0.3">
      <c r="A154" s="1">
        <v>153</v>
      </c>
      <c r="B154" s="1" t="s">
        <v>287</v>
      </c>
      <c r="C154" s="4">
        <v>45335.410416666666</v>
      </c>
      <c r="D154" s="1" t="s">
        <v>272</v>
      </c>
      <c r="E154" s="3">
        <v>1</v>
      </c>
      <c r="F154" s="1" t="s">
        <v>256</v>
      </c>
      <c r="G154" s="1" t="s">
        <v>146</v>
      </c>
      <c r="H154" s="1" t="str">
        <f>IF(COUNTIF(items_clean!$A:$A, D154)&gt;0, "Valid", "Invalid")</f>
        <v>Invalid</v>
      </c>
      <c r="I154">
        <f>IF(COUNTIF(items_clean!$A:$A, D154)&gt;0, 1, 0)</f>
        <v>0</v>
      </c>
    </row>
    <row r="155" spans="1:9" x14ac:dyDescent="0.3">
      <c r="A155" s="1">
        <v>154</v>
      </c>
      <c r="B155" s="1" t="s">
        <v>288</v>
      </c>
      <c r="C155" s="4">
        <v>45335.413888888892</v>
      </c>
      <c r="D155" s="1" t="s">
        <v>121</v>
      </c>
      <c r="E155" s="3">
        <v>1</v>
      </c>
      <c r="F155" s="1" t="s">
        <v>253</v>
      </c>
      <c r="G155" s="1" t="s">
        <v>149</v>
      </c>
      <c r="H155" s="1" t="str">
        <f>IF(COUNTIF(items_clean!$A:$A, D155)&gt;0, "Valid", "Invalid")</f>
        <v>Valid</v>
      </c>
      <c r="I155">
        <f>IF(COUNTIF(items_clean!$A:$A, D155)&gt;0, 1, 0)</f>
        <v>1</v>
      </c>
    </row>
    <row r="156" spans="1:9" x14ac:dyDescent="0.3">
      <c r="A156" s="1">
        <v>155</v>
      </c>
      <c r="B156" s="1" t="s">
        <v>289</v>
      </c>
      <c r="C156" s="4">
        <v>45335.417361111111</v>
      </c>
      <c r="D156" s="1" t="s">
        <v>113</v>
      </c>
      <c r="E156" s="3">
        <v>1</v>
      </c>
      <c r="F156" s="1" t="s">
        <v>148</v>
      </c>
      <c r="G156" s="1" t="s">
        <v>146</v>
      </c>
      <c r="H156" s="1" t="str">
        <f>IF(COUNTIF(items_clean!$A:$A, D156)&gt;0, "Valid", "Invalid")</f>
        <v>Valid</v>
      </c>
      <c r="I156">
        <f>IF(COUNTIF(items_clean!$A:$A, D156)&gt;0, 1, 0)</f>
        <v>1</v>
      </c>
    </row>
    <row r="157" spans="1:9" x14ac:dyDescent="0.3">
      <c r="A157" s="1">
        <v>156</v>
      </c>
      <c r="B157" s="1" t="s">
        <v>290</v>
      </c>
      <c r="C157" s="4">
        <v>45335.427777777775</v>
      </c>
      <c r="D157" s="1" t="s">
        <v>265</v>
      </c>
      <c r="E157" s="3">
        <v>1</v>
      </c>
      <c r="F157" s="1" t="s">
        <v>157</v>
      </c>
      <c r="G157" s="1" t="s">
        <v>149</v>
      </c>
      <c r="H157" s="1" t="str">
        <f>IF(COUNTIF(items_clean!$A:$A, D157)&gt;0, "Valid", "Invalid")</f>
        <v>Invalid</v>
      </c>
      <c r="I157">
        <f>IF(COUNTIF(items_clean!$A:$A, D157)&gt;0, 1, 0)</f>
        <v>0</v>
      </c>
    </row>
    <row r="158" spans="1:9" x14ac:dyDescent="0.3">
      <c r="A158" s="1">
        <v>157</v>
      </c>
      <c r="B158" s="1" t="s">
        <v>291</v>
      </c>
      <c r="C158" s="4">
        <v>45335.438194444447</v>
      </c>
      <c r="D158" s="1" t="s">
        <v>105</v>
      </c>
      <c r="E158" s="3">
        <v>1</v>
      </c>
      <c r="F158" s="1" t="s">
        <v>153</v>
      </c>
      <c r="G158" s="1" t="s">
        <v>146</v>
      </c>
      <c r="H158" s="1" t="str">
        <f>IF(COUNTIF(items_clean!$A:$A, D158)&gt;0, "Valid", "Invalid")</f>
        <v>Valid</v>
      </c>
      <c r="I158">
        <f>IF(COUNTIF(items_clean!$A:$A, D158)&gt;0, 1, 0)</f>
        <v>1</v>
      </c>
    </row>
    <row r="159" spans="1:9" x14ac:dyDescent="0.3">
      <c r="A159" s="1">
        <v>158</v>
      </c>
      <c r="B159" s="1" t="s">
        <v>292</v>
      </c>
      <c r="C159" s="4">
        <v>45335.447916666664</v>
      </c>
      <c r="D159" s="1" t="s">
        <v>121</v>
      </c>
      <c r="E159" s="3">
        <v>1</v>
      </c>
      <c r="F159" s="1" t="s">
        <v>159</v>
      </c>
      <c r="G159" s="1" t="s">
        <v>149</v>
      </c>
      <c r="H159" s="1" t="str">
        <f>IF(COUNTIF(items_clean!$A:$A, D159)&gt;0, "Valid", "Invalid")</f>
        <v>Valid</v>
      </c>
      <c r="I159">
        <f>IF(COUNTIF(items_clean!$A:$A, D159)&gt;0, 1, 0)</f>
        <v>1</v>
      </c>
    </row>
    <row r="160" spans="1:9" x14ac:dyDescent="0.3">
      <c r="A160" s="1">
        <v>159</v>
      </c>
      <c r="B160" s="1" t="s">
        <v>292</v>
      </c>
      <c r="C160" s="4">
        <v>45335.447916666664</v>
      </c>
      <c r="D160" s="1" t="s">
        <v>135</v>
      </c>
      <c r="E160" s="3">
        <v>1</v>
      </c>
      <c r="F160" s="1" t="s">
        <v>159</v>
      </c>
      <c r="G160" s="1" t="s">
        <v>778</v>
      </c>
      <c r="H160" s="1" t="str">
        <f>IF(COUNTIF(items_clean!$A:$A, D160)&gt;0, "Valid", "Invalid")</f>
        <v>Valid</v>
      </c>
      <c r="I160">
        <f>IF(COUNTIF(items_clean!$A:$A, D160)&gt;0, 1, 0)</f>
        <v>1</v>
      </c>
    </row>
    <row r="161" spans="1:9" x14ac:dyDescent="0.3">
      <c r="A161" s="1">
        <v>160</v>
      </c>
      <c r="B161" s="1" t="s">
        <v>293</v>
      </c>
      <c r="C161" s="4">
        <v>45335.458333333336</v>
      </c>
      <c r="D161" s="1" t="s">
        <v>128</v>
      </c>
      <c r="E161" s="3">
        <v>1</v>
      </c>
      <c r="F161" s="1" t="s">
        <v>155</v>
      </c>
      <c r="G161" s="1" t="s">
        <v>146</v>
      </c>
      <c r="H161" s="1" t="str">
        <f>IF(COUNTIF(items_clean!$A:$A, D161)&gt;0, "Valid", "Invalid")</f>
        <v>Valid</v>
      </c>
      <c r="I161">
        <f>IF(COUNTIF(items_clean!$A:$A, D161)&gt;0, 1, 0)</f>
        <v>1</v>
      </c>
    </row>
    <row r="162" spans="1:9" x14ac:dyDescent="0.3">
      <c r="A162" s="1">
        <v>161</v>
      </c>
      <c r="B162" s="1" t="s">
        <v>294</v>
      </c>
      <c r="C162" s="4">
        <v>45335.46875</v>
      </c>
      <c r="D162" s="1" t="s">
        <v>100</v>
      </c>
      <c r="E162" s="3">
        <v>1</v>
      </c>
      <c r="F162" s="1" t="s">
        <v>145</v>
      </c>
      <c r="G162" s="1" t="s">
        <v>149</v>
      </c>
      <c r="H162" s="1" t="str">
        <f>IF(COUNTIF(items_clean!$A:$A, D162)&gt;0, "Valid", "Invalid")</f>
        <v>Valid</v>
      </c>
      <c r="I162">
        <f>IF(COUNTIF(items_clean!$A:$A, D162)&gt;0, 1, 0)</f>
        <v>1</v>
      </c>
    </row>
    <row r="163" spans="1:9" x14ac:dyDescent="0.3">
      <c r="A163" s="1">
        <v>162</v>
      </c>
      <c r="B163" s="1" t="s">
        <v>295</v>
      </c>
      <c r="C163" s="4">
        <v>45335.478472222225</v>
      </c>
      <c r="D163" s="1" t="s">
        <v>116</v>
      </c>
      <c r="E163" s="3">
        <v>1</v>
      </c>
      <c r="F163" s="1" t="s">
        <v>249</v>
      </c>
      <c r="G163" s="1" t="s">
        <v>146</v>
      </c>
      <c r="H163" s="1" t="str">
        <f>IF(COUNTIF(items_clean!$A:$A, D163)&gt;0, "Valid", "Invalid")</f>
        <v>Valid</v>
      </c>
      <c r="I163">
        <f>IF(COUNTIF(items_clean!$A:$A, D163)&gt;0, 1, 0)</f>
        <v>1</v>
      </c>
    </row>
    <row r="164" spans="1:9" x14ac:dyDescent="0.3">
      <c r="A164" s="1">
        <v>163</v>
      </c>
      <c r="B164" s="1" t="s">
        <v>296</v>
      </c>
      <c r="C164" s="4">
        <v>45335.488194444442</v>
      </c>
      <c r="D164" s="1" t="s">
        <v>272</v>
      </c>
      <c r="E164" s="3">
        <v>1</v>
      </c>
      <c r="F164" s="1" t="s">
        <v>163</v>
      </c>
      <c r="G164" s="1" t="s">
        <v>149</v>
      </c>
      <c r="H164" s="1" t="str">
        <f>IF(COUNTIF(items_clean!$A:$A, D164)&gt;0, "Valid", "Invalid")</f>
        <v>Invalid</v>
      </c>
      <c r="I164">
        <f>IF(COUNTIF(items_clean!$A:$A, D164)&gt;0, 1, 0)</f>
        <v>0</v>
      </c>
    </row>
    <row r="165" spans="1:9" x14ac:dyDescent="0.3">
      <c r="A165" s="1">
        <v>164</v>
      </c>
      <c r="B165" s="1" t="s">
        <v>296</v>
      </c>
      <c r="C165" s="4">
        <v>45335.488194444442</v>
      </c>
      <c r="D165" s="1" t="s">
        <v>131</v>
      </c>
      <c r="E165" s="3">
        <v>1</v>
      </c>
      <c r="F165" s="1" t="s">
        <v>163</v>
      </c>
      <c r="G165" s="1" t="s">
        <v>778</v>
      </c>
      <c r="H165" s="1" t="str">
        <f>IF(COUNTIF(items_clean!$A:$A, D165)&gt;0, "Valid", "Invalid")</f>
        <v>Valid</v>
      </c>
      <c r="I165">
        <f>IF(COUNTIF(items_clean!$A:$A, D165)&gt;0, 1, 0)</f>
        <v>1</v>
      </c>
    </row>
    <row r="166" spans="1:9" x14ac:dyDescent="0.3">
      <c r="A166" s="1">
        <v>165</v>
      </c>
      <c r="B166" s="1" t="s">
        <v>297</v>
      </c>
      <c r="C166" s="4">
        <v>45335.497916666667</v>
      </c>
      <c r="D166" s="1" t="s">
        <v>111</v>
      </c>
      <c r="E166" s="3">
        <v>1</v>
      </c>
      <c r="F166" s="1" t="s">
        <v>256</v>
      </c>
      <c r="G166" s="1" t="s">
        <v>146</v>
      </c>
      <c r="H166" s="1" t="str">
        <f>IF(COUNTIF(items_clean!$A:$A, D166)&gt;0, "Valid", "Invalid")</f>
        <v>Valid</v>
      </c>
      <c r="I166">
        <f>IF(COUNTIF(items_clean!$A:$A, D166)&gt;0, 1, 0)</f>
        <v>1</v>
      </c>
    </row>
    <row r="167" spans="1:9" x14ac:dyDescent="0.3">
      <c r="A167" s="1">
        <v>166</v>
      </c>
      <c r="B167" s="1" t="s">
        <v>298</v>
      </c>
      <c r="C167" s="4">
        <v>45335.502083333333</v>
      </c>
      <c r="D167" s="1" t="s">
        <v>134</v>
      </c>
      <c r="E167" s="3">
        <v>1</v>
      </c>
      <c r="F167" s="1" t="s">
        <v>253</v>
      </c>
      <c r="G167" s="1" t="s">
        <v>149</v>
      </c>
      <c r="H167" s="1" t="str">
        <f>IF(COUNTIF(items_clean!$A:$A, D167)&gt;0, "Valid", "Invalid")</f>
        <v>Valid</v>
      </c>
      <c r="I167">
        <f>IF(COUNTIF(items_clean!$A:$A, D167)&gt;0, 1, 0)</f>
        <v>1</v>
      </c>
    </row>
    <row r="168" spans="1:9" x14ac:dyDescent="0.3">
      <c r="A168" s="1">
        <v>167</v>
      </c>
      <c r="B168" s="1" t="s">
        <v>299</v>
      </c>
      <c r="C168" s="4">
        <v>45335.506944444445</v>
      </c>
      <c r="D168" s="1" t="s">
        <v>104</v>
      </c>
      <c r="E168" s="3">
        <v>1</v>
      </c>
      <c r="F168" s="1" t="s">
        <v>145</v>
      </c>
      <c r="G168" s="1" t="s">
        <v>146</v>
      </c>
      <c r="H168" s="1" t="str">
        <f>IF(COUNTIF(items_clean!$A:$A, D168)&gt;0, "Valid", "Invalid")</f>
        <v>Valid</v>
      </c>
      <c r="I168">
        <f>IF(COUNTIF(items_clean!$A:$A, D168)&gt;0, 1, 0)</f>
        <v>1</v>
      </c>
    </row>
    <row r="169" spans="1:9" x14ac:dyDescent="0.3">
      <c r="A169" s="1">
        <v>168</v>
      </c>
      <c r="B169" s="1" t="s">
        <v>300</v>
      </c>
      <c r="C169" s="4">
        <v>45335.511805555558</v>
      </c>
      <c r="D169" s="1" t="s">
        <v>122</v>
      </c>
      <c r="E169" s="3">
        <v>1</v>
      </c>
      <c r="F169" s="1" t="s">
        <v>148</v>
      </c>
      <c r="G169" s="1" t="s">
        <v>149</v>
      </c>
      <c r="H169" s="1" t="str">
        <f>IF(COUNTIF(items_clean!$A:$A, D169)&gt;0, "Valid", "Invalid")</f>
        <v>Valid</v>
      </c>
      <c r="I169">
        <f>IF(COUNTIF(items_clean!$A:$A, D169)&gt;0, 1, 0)</f>
        <v>1</v>
      </c>
    </row>
    <row r="170" spans="1:9" x14ac:dyDescent="0.3">
      <c r="A170" s="1">
        <v>169</v>
      </c>
      <c r="B170" s="1" t="s">
        <v>301</v>
      </c>
      <c r="C170" s="4">
        <v>45335.51666666667</v>
      </c>
      <c r="D170" s="1" t="s">
        <v>272</v>
      </c>
      <c r="E170" s="3">
        <v>1</v>
      </c>
      <c r="F170" s="1" t="s">
        <v>157</v>
      </c>
      <c r="G170" s="1" t="s">
        <v>146</v>
      </c>
      <c r="H170" s="1" t="str">
        <f>IF(COUNTIF(items_clean!$A:$A, D170)&gt;0, "Valid", "Invalid")</f>
        <v>Invalid</v>
      </c>
      <c r="I170">
        <f>IF(COUNTIF(items_clean!$A:$A, D170)&gt;0, 1, 0)</f>
        <v>0</v>
      </c>
    </row>
    <row r="171" spans="1:9" x14ac:dyDescent="0.3">
      <c r="A171" s="1">
        <v>170</v>
      </c>
      <c r="B171" s="1" t="s">
        <v>301</v>
      </c>
      <c r="C171" s="4">
        <v>45335.51666666667</v>
      </c>
      <c r="D171" s="1" t="s">
        <v>128</v>
      </c>
      <c r="E171" s="3">
        <v>1</v>
      </c>
      <c r="F171" s="1" t="s">
        <v>157</v>
      </c>
      <c r="G171" s="1" t="s">
        <v>778</v>
      </c>
      <c r="H171" s="1" t="str">
        <f>IF(COUNTIF(items_clean!$A:$A, D171)&gt;0, "Valid", "Invalid")</f>
        <v>Valid</v>
      </c>
      <c r="I171">
        <f>IF(COUNTIF(items_clean!$A:$A, D171)&gt;0, 1, 0)</f>
        <v>1</v>
      </c>
    </row>
    <row r="172" spans="1:9" x14ac:dyDescent="0.3">
      <c r="A172" s="1">
        <v>171</v>
      </c>
      <c r="B172" s="1" t="s">
        <v>302</v>
      </c>
      <c r="C172" s="4">
        <v>45335.521527777775</v>
      </c>
      <c r="D172" s="1" t="s">
        <v>110</v>
      </c>
      <c r="E172" s="3">
        <v>1</v>
      </c>
      <c r="F172" s="1" t="s">
        <v>151</v>
      </c>
      <c r="G172" s="1" t="s">
        <v>149</v>
      </c>
      <c r="H172" s="1" t="str">
        <f>IF(COUNTIF(items_clean!$A:$A, D172)&gt;0, "Valid", "Invalid")</f>
        <v>Valid</v>
      </c>
      <c r="I172">
        <f>IF(COUNTIF(items_clean!$A:$A, D172)&gt;0, 1, 0)</f>
        <v>1</v>
      </c>
    </row>
    <row r="173" spans="1:9" x14ac:dyDescent="0.3">
      <c r="A173" s="1">
        <v>172</v>
      </c>
      <c r="B173" s="1" t="s">
        <v>303</v>
      </c>
      <c r="C173" s="4">
        <v>45335.526388888888</v>
      </c>
      <c r="D173" s="1" t="s">
        <v>131</v>
      </c>
      <c r="E173" s="3">
        <v>1</v>
      </c>
      <c r="F173" s="1" t="s">
        <v>153</v>
      </c>
      <c r="G173" s="1" t="s">
        <v>146</v>
      </c>
      <c r="H173" s="1" t="str">
        <f>IF(COUNTIF(items_clean!$A:$A, D173)&gt;0, "Valid", "Invalid")</f>
        <v>Valid</v>
      </c>
      <c r="I173">
        <f>IF(COUNTIF(items_clean!$A:$A, D173)&gt;0, 1, 0)</f>
        <v>1</v>
      </c>
    </row>
    <row r="174" spans="1:9" x14ac:dyDescent="0.3">
      <c r="A174" s="1">
        <v>173</v>
      </c>
      <c r="B174" s="1" t="s">
        <v>304</v>
      </c>
      <c r="C174" s="4">
        <v>45335.53125</v>
      </c>
      <c r="D174" s="1" t="s">
        <v>102</v>
      </c>
      <c r="E174" s="3">
        <v>1</v>
      </c>
      <c r="F174" s="1" t="s">
        <v>155</v>
      </c>
      <c r="G174" s="1" t="s">
        <v>149</v>
      </c>
      <c r="H174" s="1" t="str">
        <f>IF(COUNTIF(items_clean!$A:$A, D174)&gt;0, "Valid", "Invalid")</f>
        <v>Valid</v>
      </c>
      <c r="I174">
        <f>IF(COUNTIF(items_clean!$A:$A, D174)&gt;0, 1, 0)</f>
        <v>1</v>
      </c>
    </row>
    <row r="175" spans="1:9" x14ac:dyDescent="0.3">
      <c r="A175" s="1">
        <v>174</v>
      </c>
      <c r="B175" s="1" t="s">
        <v>305</v>
      </c>
      <c r="C175" s="4">
        <v>45335.536111111112</v>
      </c>
      <c r="D175" s="1" t="s">
        <v>125</v>
      </c>
      <c r="E175" s="3">
        <v>1</v>
      </c>
      <c r="F175" s="1" t="s">
        <v>159</v>
      </c>
      <c r="G175" s="1" t="s">
        <v>146</v>
      </c>
      <c r="H175" s="1" t="str">
        <f>IF(COUNTIF(items_clean!$A:$A, D175)&gt;0, "Valid", "Invalid")</f>
        <v>Valid</v>
      </c>
      <c r="I175">
        <f>IF(COUNTIF(items_clean!$A:$A, D175)&gt;0, 1, 0)</f>
        <v>1</v>
      </c>
    </row>
    <row r="176" spans="1:9" x14ac:dyDescent="0.3">
      <c r="A176" s="1">
        <v>175</v>
      </c>
      <c r="B176" s="1" t="s">
        <v>306</v>
      </c>
      <c r="C176" s="4">
        <v>45335.540972222225</v>
      </c>
      <c r="D176" s="1" t="s">
        <v>113</v>
      </c>
      <c r="E176" s="3">
        <v>1</v>
      </c>
      <c r="F176" s="1" t="s">
        <v>161</v>
      </c>
      <c r="G176" s="1" t="s">
        <v>149</v>
      </c>
      <c r="H176" s="1" t="str">
        <f>IF(COUNTIF(items_clean!$A:$A, D176)&gt;0, "Valid", "Invalid")</f>
        <v>Valid</v>
      </c>
      <c r="I176">
        <f>IF(COUNTIF(items_clean!$A:$A, D176)&gt;0, 1, 0)</f>
        <v>1</v>
      </c>
    </row>
    <row r="177" spans="1:9" x14ac:dyDescent="0.3">
      <c r="A177" s="1">
        <v>176</v>
      </c>
      <c r="B177" s="1" t="s">
        <v>306</v>
      </c>
      <c r="C177" s="4">
        <v>45335.540972222225</v>
      </c>
      <c r="D177" s="1" t="s">
        <v>278</v>
      </c>
      <c r="E177" s="3">
        <v>1</v>
      </c>
      <c r="F177" s="1" t="s">
        <v>161</v>
      </c>
      <c r="G177" s="1" t="s">
        <v>778</v>
      </c>
      <c r="H177" s="1" t="str">
        <f>IF(COUNTIF(items_clean!$A:$A, D177)&gt;0, "Valid", "Invalid")</f>
        <v>Invalid</v>
      </c>
      <c r="I177">
        <f>IF(COUNTIF(items_clean!$A:$A, D177)&gt;0, 1, 0)</f>
        <v>0</v>
      </c>
    </row>
    <row r="178" spans="1:9" x14ac:dyDescent="0.3">
      <c r="A178" s="1">
        <v>177</v>
      </c>
      <c r="B178" s="1" t="s">
        <v>307</v>
      </c>
      <c r="C178" s="4">
        <v>45335.54583333333</v>
      </c>
      <c r="D178" s="1" t="s">
        <v>118</v>
      </c>
      <c r="E178" s="3">
        <v>1</v>
      </c>
      <c r="F178" s="1" t="s">
        <v>163</v>
      </c>
      <c r="G178" s="1" t="s">
        <v>146</v>
      </c>
      <c r="H178" s="1" t="str">
        <f>IF(COUNTIF(items_clean!$A:$A, D178)&gt;0, "Valid", "Invalid")</f>
        <v>Valid</v>
      </c>
      <c r="I178">
        <f>IF(COUNTIF(items_clean!$A:$A, D178)&gt;0, 1, 0)</f>
        <v>1</v>
      </c>
    </row>
    <row r="179" spans="1:9" x14ac:dyDescent="0.3">
      <c r="A179" s="1">
        <v>178</v>
      </c>
      <c r="B179" s="1" t="s">
        <v>308</v>
      </c>
      <c r="C179" s="4">
        <v>45335.550694444442</v>
      </c>
      <c r="D179" s="1" t="s">
        <v>96</v>
      </c>
      <c r="E179" s="3">
        <v>1</v>
      </c>
      <c r="F179" s="1" t="s">
        <v>165</v>
      </c>
      <c r="G179" s="1" t="s">
        <v>149</v>
      </c>
      <c r="H179" s="1" t="str">
        <f>IF(COUNTIF(items_clean!$A:$A, D179)&gt;0, "Valid", "Invalid")</f>
        <v>Valid</v>
      </c>
      <c r="I179">
        <f>IF(COUNTIF(items_clean!$A:$A, D179)&gt;0, 1, 0)</f>
        <v>1</v>
      </c>
    </row>
    <row r="180" spans="1:9" x14ac:dyDescent="0.3">
      <c r="A180" s="1">
        <v>179</v>
      </c>
      <c r="B180" s="1" t="s">
        <v>309</v>
      </c>
      <c r="C180" s="4">
        <v>45335.555555555555</v>
      </c>
      <c r="D180" s="1" t="s">
        <v>129</v>
      </c>
      <c r="E180" s="3">
        <v>1</v>
      </c>
      <c r="F180" s="1" t="s">
        <v>167</v>
      </c>
      <c r="G180" s="1" t="s">
        <v>146</v>
      </c>
      <c r="H180" s="1" t="str">
        <f>IF(COUNTIF(items_clean!$A:$A, D180)&gt;0, "Valid", "Invalid")</f>
        <v>Valid</v>
      </c>
      <c r="I180">
        <f>IF(COUNTIF(items_clean!$A:$A, D180)&gt;0, 1, 0)</f>
        <v>1</v>
      </c>
    </row>
    <row r="181" spans="1:9" x14ac:dyDescent="0.3">
      <c r="A181" s="1">
        <v>180</v>
      </c>
      <c r="B181" s="1" t="s">
        <v>310</v>
      </c>
      <c r="C181" s="4">
        <v>45335.560416666667</v>
      </c>
      <c r="D181" s="1" t="s">
        <v>105</v>
      </c>
      <c r="E181" s="3">
        <v>1</v>
      </c>
      <c r="F181" s="1" t="s">
        <v>249</v>
      </c>
      <c r="G181" s="1" t="s">
        <v>149</v>
      </c>
      <c r="H181" s="1" t="str">
        <f>IF(COUNTIF(items_clean!$A:$A, D181)&gt;0, "Valid", "Invalid")</f>
        <v>Valid</v>
      </c>
      <c r="I181">
        <f>IF(COUNTIF(items_clean!$A:$A, D181)&gt;0, 1, 0)</f>
        <v>1</v>
      </c>
    </row>
    <row r="182" spans="1:9" x14ac:dyDescent="0.3">
      <c r="A182" s="1">
        <v>181</v>
      </c>
      <c r="B182" s="1" t="s">
        <v>310</v>
      </c>
      <c r="C182" s="4">
        <v>45335.560416666667</v>
      </c>
      <c r="D182" s="1" t="s">
        <v>116</v>
      </c>
      <c r="E182" s="3">
        <v>1</v>
      </c>
      <c r="F182" s="1" t="s">
        <v>249</v>
      </c>
      <c r="G182" s="1" t="s">
        <v>778</v>
      </c>
      <c r="H182" s="1" t="str">
        <f>IF(COUNTIF(items_clean!$A:$A, D182)&gt;0, "Valid", "Invalid")</f>
        <v>Valid</v>
      </c>
      <c r="I182">
        <f>IF(COUNTIF(items_clean!$A:$A, D182)&gt;0, 1, 0)</f>
        <v>1</v>
      </c>
    </row>
    <row r="183" spans="1:9" x14ac:dyDescent="0.3">
      <c r="A183" s="1">
        <v>182</v>
      </c>
      <c r="B183" s="1" t="s">
        <v>311</v>
      </c>
      <c r="C183" s="4">
        <v>45335.56527777778</v>
      </c>
      <c r="D183" s="1" t="s">
        <v>254</v>
      </c>
      <c r="E183" s="3">
        <v>1</v>
      </c>
      <c r="F183" s="1" t="s">
        <v>256</v>
      </c>
      <c r="G183" s="1" t="s">
        <v>146</v>
      </c>
      <c r="H183" s="1" t="str">
        <f>IF(COUNTIF(items_clean!$A:$A, D183)&gt;0, "Valid", "Invalid")</f>
        <v>Invalid</v>
      </c>
      <c r="I183">
        <f>IF(COUNTIF(items_clean!$A:$A, D183)&gt;0, 1, 0)</f>
        <v>0</v>
      </c>
    </row>
    <row r="184" spans="1:9" x14ac:dyDescent="0.3">
      <c r="A184" s="1">
        <v>183</v>
      </c>
      <c r="B184" s="1" t="s">
        <v>312</v>
      </c>
      <c r="C184" s="4">
        <v>45335.570138888892</v>
      </c>
      <c r="D184" s="1" t="s">
        <v>115</v>
      </c>
      <c r="E184" s="3">
        <v>1</v>
      </c>
      <c r="F184" s="1" t="s">
        <v>145</v>
      </c>
      <c r="G184" s="1" t="s">
        <v>149</v>
      </c>
      <c r="H184" s="1" t="str">
        <f>IF(COUNTIF(items_clean!$A:$A, D184)&gt;0, "Valid", "Invalid")</f>
        <v>Valid</v>
      </c>
      <c r="I184">
        <f>IF(COUNTIF(items_clean!$A:$A, D184)&gt;0, 1, 0)</f>
        <v>1</v>
      </c>
    </row>
    <row r="185" spans="1:9" x14ac:dyDescent="0.3">
      <c r="A185" s="1">
        <v>184</v>
      </c>
      <c r="B185" s="1" t="s">
        <v>313</v>
      </c>
      <c r="C185" s="4">
        <v>45335.574999999997</v>
      </c>
      <c r="D185" s="1" t="s">
        <v>138</v>
      </c>
      <c r="E185" s="3">
        <v>1</v>
      </c>
      <c r="F185" s="1" t="s">
        <v>253</v>
      </c>
      <c r="G185" s="1" t="s">
        <v>146</v>
      </c>
      <c r="H185" s="1" t="str">
        <f>IF(COUNTIF(items_clean!$A:$A, D185)&gt;0, "Valid", "Invalid")</f>
        <v>Valid</v>
      </c>
      <c r="I185">
        <f>IF(COUNTIF(items_clean!$A:$A, D185)&gt;0, 1, 0)</f>
        <v>1</v>
      </c>
    </row>
    <row r="186" spans="1:9" x14ac:dyDescent="0.3">
      <c r="A186" s="1">
        <v>185</v>
      </c>
      <c r="B186" s="1" t="s">
        <v>314</v>
      </c>
      <c r="C186" s="4">
        <v>45335.579861111109</v>
      </c>
      <c r="D186" s="1" t="s">
        <v>126</v>
      </c>
      <c r="E186" s="3">
        <v>1</v>
      </c>
      <c r="F186" s="1" t="s">
        <v>148</v>
      </c>
      <c r="G186" s="1" t="s">
        <v>149</v>
      </c>
      <c r="H186" s="1" t="str">
        <f>IF(COUNTIF(items_clean!$A:$A, D186)&gt;0, "Valid", "Invalid")</f>
        <v>Valid</v>
      </c>
      <c r="I186">
        <f>IF(COUNTIF(items_clean!$A:$A, D186)&gt;0, 1, 0)</f>
        <v>1</v>
      </c>
    </row>
    <row r="187" spans="1:9" x14ac:dyDescent="0.3">
      <c r="A187" s="1">
        <v>186</v>
      </c>
      <c r="B187" s="1" t="s">
        <v>314</v>
      </c>
      <c r="C187" s="4">
        <v>45335.579861111109</v>
      </c>
      <c r="D187" s="1" t="s">
        <v>132</v>
      </c>
      <c r="E187" s="3">
        <v>1</v>
      </c>
      <c r="F187" s="1" t="s">
        <v>148</v>
      </c>
      <c r="G187" s="1" t="s">
        <v>778</v>
      </c>
      <c r="H187" s="1" t="str">
        <f>IF(COUNTIF(items_clean!$A:$A, D187)&gt;0, "Valid", "Invalid")</f>
        <v>Valid</v>
      </c>
      <c r="I187">
        <f>IF(COUNTIF(items_clean!$A:$A, D187)&gt;0, 1, 0)</f>
        <v>1</v>
      </c>
    </row>
    <row r="188" spans="1:9" x14ac:dyDescent="0.3">
      <c r="A188" s="1">
        <v>187</v>
      </c>
      <c r="B188" s="1" t="s">
        <v>315</v>
      </c>
      <c r="C188" s="4">
        <v>45335.585416666669</v>
      </c>
      <c r="D188" s="1" t="s">
        <v>108</v>
      </c>
      <c r="E188" s="3">
        <v>1</v>
      </c>
      <c r="F188" s="1" t="s">
        <v>157</v>
      </c>
      <c r="G188" s="1" t="s">
        <v>146</v>
      </c>
      <c r="H188" s="1" t="str">
        <f>IF(COUNTIF(items_clean!$A:$A, D188)&gt;0, "Valid", "Invalid")</f>
        <v>Valid</v>
      </c>
      <c r="I188">
        <f>IF(COUNTIF(items_clean!$A:$A, D188)&gt;0, 1, 0)</f>
        <v>1</v>
      </c>
    </row>
    <row r="189" spans="1:9" x14ac:dyDescent="0.3">
      <c r="A189" s="1">
        <v>188</v>
      </c>
      <c r="B189" s="1" t="s">
        <v>316</v>
      </c>
      <c r="C189" s="4">
        <v>45335.590277777781</v>
      </c>
      <c r="D189" s="1" t="s">
        <v>135</v>
      </c>
      <c r="E189" s="3">
        <v>1</v>
      </c>
      <c r="F189" s="1" t="s">
        <v>151</v>
      </c>
      <c r="G189" s="1" t="s">
        <v>149</v>
      </c>
      <c r="H189" s="1" t="str">
        <f>IF(COUNTIF(items_clean!$A:$A, D189)&gt;0, "Valid", "Invalid")</f>
        <v>Valid</v>
      </c>
      <c r="I189">
        <f>IF(COUNTIF(items_clean!$A:$A, D189)&gt;0, 1, 0)</f>
        <v>1</v>
      </c>
    </row>
    <row r="190" spans="1:9" x14ac:dyDescent="0.3">
      <c r="A190" s="1">
        <v>189</v>
      </c>
      <c r="B190" s="1" t="s">
        <v>317</v>
      </c>
      <c r="C190" s="4">
        <v>45335.604166666664</v>
      </c>
      <c r="D190" s="1" t="s">
        <v>100</v>
      </c>
      <c r="E190" s="3">
        <v>1</v>
      </c>
      <c r="F190" s="1" t="s">
        <v>148</v>
      </c>
      <c r="G190" s="1" t="s">
        <v>146</v>
      </c>
      <c r="H190" s="1" t="str">
        <f>IF(COUNTIF(items_clean!$A:$A, D190)&gt;0, "Valid", "Invalid")</f>
        <v>Valid</v>
      </c>
      <c r="I190">
        <f>IF(COUNTIF(items_clean!$A:$A, D190)&gt;0, 1, 0)</f>
        <v>1</v>
      </c>
    </row>
    <row r="191" spans="1:9" x14ac:dyDescent="0.3">
      <c r="A191" s="1">
        <v>190</v>
      </c>
      <c r="B191" s="1" t="s">
        <v>318</v>
      </c>
      <c r="C191" s="4">
        <v>45335.618055555555</v>
      </c>
      <c r="D191" s="1" t="s">
        <v>128</v>
      </c>
      <c r="E191" s="3">
        <v>1</v>
      </c>
      <c r="F191" s="1" t="s">
        <v>253</v>
      </c>
      <c r="G191" s="1" t="s">
        <v>149</v>
      </c>
      <c r="H191" s="1" t="str">
        <f>IF(COUNTIF(items_clean!$A:$A, D191)&gt;0, "Valid", "Invalid")</f>
        <v>Valid</v>
      </c>
      <c r="I191">
        <f>IF(COUNTIF(items_clean!$A:$A, D191)&gt;0, 1, 0)</f>
        <v>1</v>
      </c>
    </row>
    <row r="192" spans="1:9" x14ac:dyDescent="0.3">
      <c r="A192" s="1">
        <v>191</v>
      </c>
      <c r="B192" s="1" t="s">
        <v>319</v>
      </c>
      <c r="C192" s="4">
        <v>45335.631944444445</v>
      </c>
      <c r="D192" s="1" t="s">
        <v>105</v>
      </c>
      <c r="E192" s="3">
        <v>1</v>
      </c>
      <c r="F192" s="1" t="s">
        <v>145</v>
      </c>
      <c r="G192" s="1" t="s">
        <v>146</v>
      </c>
      <c r="H192" s="1" t="str">
        <f>IF(COUNTIF(items_clean!$A:$A, D192)&gt;0, "Valid", "Invalid")</f>
        <v>Valid</v>
      </c>
      <c r="I192">
        <f>IF(COUNTIF(items_clean!$A:$A, D192)&gt;0, 1, 0)</f>
        <v>1</v>
      </c>
    </row>
    <row r="193" spans="1:9" x14ac:dyDescent="0.3">
      <c r="A193" s="1">
        <v>192</v>
      </c>
      <c r="B193" s="1" t="s">
        <v>320</v>
      </c>
      <c r="C193" s="4">
        <v>45335.645833333336</v>
      </c>
      <c r="D193" s="1" t="s">
        <v>265</v>
      </c>
      <c r="E193" s="3">
        <v>1</v>
      </c>
      <c r="F193" s="1" t="s">
        <v>157</v>
      </c>
      <c r="G193" s="1" t="s">
        <v>149</v>
      </c>
      <c r="H193" s="1" t="str">
        <f>IF(COUNTIF(items_clean!$A:$A, D193)&gt;0, "Valid", "Invalid")</f>
        <v>Invalid</v>
      </c>
      <c r="I193">
        <f>IF(COUNTIF(items_clean!$A:$A, D193)&gt;0, 1, 0)</f>
        <v>0</v>
      </c>
    </row>
    <row r="194" spans="1:9" x14ac:dyDescent="0.3">
      <c r="A194" s="1">
        <v>193</v>
      </c>
      <c r="B194" s="1" t="s">
        <v>321</v>
      </c>
      <c r="C194" s="4">
        <v>45335.659722222219</v>
      </c>
      <c r="D194" s="1" t="s">
        <v>116</v>
      </c>
      <c r="E194" s="3">
        <v>1</v>
      </c>
      <c r="F194" s="1" t="s">
        <v>151</v>
      </c>
      <c r="G194" s="1" t="s">
        <v>146</v>
      </c>
      <c r="H194" s="1" t="str">
        <f>IF(COUNTIF(items_clean!$A:$A, D194)&gt;0, "Valid", "Invalid")</f>
        <v>Valid</v>
      </c>
      <c r="I194">
        <f>IF(COUNTIF(items_clean!$A:$A, D194)&gt;0, 1, 0)</f>
        <v>1</v>
      </c>
    </row>
    <row r="195" spans="1:9" x14ac:dyDescent="0.3">
      <c r="A195" s="1">
        <v>194</v>
      </c>
      <c r="B195" s="1" t="s">
        <v>322</v>
      </c>
      <c r="C195" s="4">
        <v>45335.67291666667</v>
      </c>
      <c r="D195" s="1" t="s">
        <v>104</v>
      </c>
      <c r="E195" s="3">
        <v>1</v>
      </c>
      <c r="F195" s="1" t="s">
        <v>153</v>
      </c>
      <c r="G195" s="1" t="s">
        <v>149</v>
      </c>
      <c r="H195" s="1" t="str">
        <f>IF(COUNTIF(items_clean!$A:$A, D195)&gt;0, "Valid", "Invalid")</f>
        <v>Valid</v>
      </c>
      <c r="I195">
        <f>IF(COUNTIF(items_clean!$A:$A, D195)&gt;0, 1, 0)</f>
        <v>1</v>
      </c>
    </row>
    <row r="196" spans="1:9" x14ac:dyDescent="0.3">
      <c r="A196" s="1">
        <v>195</v>
      </c>
      <c r="B196" s="1" t="s">
        <v>322</v>
      </c>
      <c r="C196" s="4">
        <v>45335.67291666667</v>
      </c>
      <c r="D196" s="1" t="s">
        <v>254</v>
      </c>
      <c r="E196" s="3">
        <v>1</v>
      </c>
      <c r="F196" s="1" t="s">
        <v>153</v>
      </c>
      <c r="G196" s="1" t="s">
        <v>778</v>
      </c>
      <c r="H196" s="1" t="str">
        <f>IF(COUNTIF(items_clean!$A:$A, D196)&gt;0, "Valid", "Invalid")</f>
        <v>Invalid</v>
      </c>
      <c r="I196">
        <f>IF(COUNTIF(items_clean!$A:$A, D196)&gt;0, 1, 0)</f>
        <v>0</v>
      </c>
    </row>
    <row r="197" spans="1:9" x14ac:dyDescent="0.3">
      <c r="A197" s="1">
        <v>196</v>
      </c>
      <c r="B197" s="1" t="s">
        <v>323</v>
      </c>
      <c r="C197" s="4">
        <v>45335.686805555553</v>
      </c>
      <c r="D197" s="1" t="s">
        <v>121</v>
      </c>
      <c r="E197" s="3">
        <v>1</v>
      </c>
      <c r="F197" s="1" t="s">
        <v>155</v>
      </c>
      <c r="G197" s="1" t="s">
        <v>146</v>
      </c>
      <c r="H197" s="1" t="str">
        <f>IF(COUNTIF(items_clean!$A:$A, D197)&gt;0, "Valid", "Invalid")</f>
        <v>Valid</v>
      </c>
      <c r="I197">
        <f>IF(COUNTIF(items_clean!$A:$A, D197)&gt;0, 1, 0)</f>
        <v>1</v>
      </c>
    </row>
    <row r="198" spans="1:9" x14ac:dyDescent="0.3">
      <c r="A198" s="1">
        <v>197</v>
      </c>
      <c r="B198" s="1" t="s">
        <v>324</v>
      </c>
      <c r="C198" s="4">
        <v>45335.700694444444</v>
      </c>
      <c r="D198" s="1" t="s">
        <v>132</v>
      </c>
      <c r="E198" s="3">
        <v>1</v>
      </c>
      <c r="F198" s="1" t="s">
        <v>159</v>
      </c>
      <c r="G198" s="1" t="s">
        <v>149</v>
      </c>
      <c r="H198" s="1" t="str">
        <f>IF(COUNTIF(items_clean!$A:$A, D198)&gt;0, "Valid", "Invalid")</f>
        <v>Valid</v>
      </c>
      <c r="I198">
        <f>IF(COUNTIF(items_clean!$A:$A, D198)&gt;0, 1, 0)</f>
        <v>1</v>
      </c>
    </row>
    <row r="199" spans="1:9" x14ac:dyDescent="0.3">
      <c r="A199" s="1">
        <v>198</v>
      </c>
      <c r="B199" s="1" t="s">
        <v>325</v>
      </c>
      <c r="C199" s="4">
        <v>45335.708333333336</v>
      </c>
      <c r="D199" s="1" t="s">
        <v>110</v>
      </c>
      <c r="E199" s="3">
        <v>1</v>
      </c>
      <c r="F199" s="1" t="s">
        <v>161</v>
      </c>
      <c r="G199" s="1" t="s">
        <v>146</v>
      </c>
      <c r="H199" s="1" t="str">
        <f>IF(COUNTIF(items_clean!$A:$A, D199)&gt;0, "Valid", "Invalid")</f>
        <v>Valid</v>
      </c>
      <c r="I199">
        <f>IF(COUNTIF(items_clean!$A:$A, D199)&gt;0, 1, 0)</f>
        <v>1</v>
      </c>
    </row>
    <row r="200" spans="1:9" x14ac:dyDescent="0.3">
      <c r="A200" s="1">
        <v>199</v>
      </c>
      <c r="B200" s="1" t="s">
        <v>326</v>
      </c>
      <c r="C200" s="4">
        <v>45336.29583333333</v>
      </c>
      <c r="D200" s="1" t="s">
        <v>96</v>
      </c>
      <c r="E200" s="3">
        <v>1</v>
      </c>
      <c r="F200" s="1" t="s">
        <v>327</v>
      </c>
      <c r="G200" s="1" t="s">
        <v>146</v>
      </c>
      <c r="H200" s="1" t="str">
        <f>IF(COUNTIF(items_clean!$A:$A, D200)&gt;0, "Valid", "Invalid")</f>
        <v>Valid</v>
      </c>
      <c r="I200">
        <f>IF(COUNTIF(items_clean!$A:$A, D200)&gt;0, 1, 0)</f>
        <v>1</v>
      </c>
    </row>
    <row r="201" spans="1:9" x14ac:dyDescent="0.3">
      <c r="A201" s="1">
        <v>200</v>
      </c>
      <c r="B201" s="1" t="s">
        <v>328</v>
      </c>
      <c r="C201" s="4">
        <v>45336.300694444442</v>
      </c>
      <c r="D201" s="1" t="s">
        <v>121</v>
      </c>
      <c r="E201" s="3">
        <v>1</v>
      </c>
      <c r="F201" s="1" t="s">
        <v>148</v>
      </c>
      <c r="G201" s="1" t="s">
        <v>149</v>
      </c>
      <c r="H201" s="1" t="str">
        <f>IF(COUNTIF(items_clean!$A:$A, D201)&gt;0, "Valid", "Invalid")</f>
        <v>Valid</v>
      </c>
      <c r="I201">
        <f>IF(COUNTIF(items_clean!$A:$A, D201)&gt;0, 1, 0)</f>
        <v>1</v>
      </c>
    </row>
    <row r="202" spans="1:9" x14ac:dyDescent="0.3">
      <c r="A202" s="1">
        <v>201</v>
      </c>
      <c r="B202" s="1" t="s">
        <v>329</v>
      </c>
      <c r="C202" s="4">
        <v>45336.305555555555</v>
      </c>
      <c r="D202" s="1" t="s">
        <v>272</v>
      </c>
      <c r="E202" s="3">
        <v>1</v>
      </c>
      <c r="F202" s="1" t="s">
        <v>253</v>
      </c>
      <c r="G202" s="1" t="s">
        <v>146</v>
      </c>
      <c r="H202" s="1" t="str">
        <f>IF(COUNTIF(items_clean!$A:$A, D202)&gt;0, "Valid", "Invalid")</f>
        <v>Invalid</v>
      </c>
      <c r="I202">
        <f>IF(COUNTIF(items_clean!$A:$A, D202)&gt;0, 1, 0)</f>
        <v>0</v>
      </c>
    </row>
    <row r="203" spans="1:9" x14ac:dyDescent="0.3">
      <c r="A203" s="1">
        <v>202</v>
      </c>
      <c r="B203" s="1" t="s">
        <v>330</v>
      </c>
      <c r="C203" s="4">
        <v>45336.310416666667</v>
      </c>
      <c r="D203" s="1" t="s">
        <v>111</v>
      </c>
      <c r="E203" s="3">
        <v>1</v>
      </c>
      <c r="F203" s="1" t="s">
        <v>145</v>
      </c>
      <c r="G203" s="1" t="s">
        <v>149</v>
      </c>
      <c r="H203" s="1" t="str">
        <f>IF(COUNTIF(items_clean!$A:$A, D203)&gt;0, "Valid", "Invalid")</f>
        <v>Valid</v>
      </c>
      <c r="I203">
        <f>IF(COUNTIF(items_clean!$A:$A, D203)&gt;0, 1, 0)</f>
        <v>1</v>
      </c>
    </row>
    <row r="204" spans="1:9" x14ac:dyDescent="0.3">
      <c r="A204" s="1">
        <v>203</v>
      </c>
      <c r="B204" s="1" t="s">
        <v>330</v>
      </c>
      <c r="C204" s="4">
        <v>45336.310416666667</v>
      </c>
      <c r="D204" s="1" t="s">
        <v>134</v>
      </c>
      <c r="E204" s="3">
        <v>1</v>
      </c>
      <c r="F204" s="1" t="s">
        <v>145</v>
      </c>
      <c r="G204" s="1" t="s">
        <v>778</v>
      </c>
      <c r="H204" s="1" t="str">
        <f>IF(COUNTIF(items_clean!$A:$A, D204)&gt;0, "Valid", "Invalid")</f>
        <v>Valid</v>
      </c>
      <c r="I204">
        <f>IF(COUNTIF(items_clean!$A:$A, D204)&gt;0, 1, 0)</f>
        <v>1</v>
      </c>
    </row>
    <row r="205" spans="1:9" x14ac:dyDescent="0.3">
      <c r="A205" s="1">
        <v>204</v>
      </c>
      <c r="B205" s="1" t="s">
        <v>331</v>
      </c>
      <c r="C205" s="4">
        <v>45336.31527777778</v>
      </c>
      <c r="D205" s="1" t="s">
        <v>126</v>
      </c>
      <c r="E205" s="3">
        <v>1</v>
      </c>
      <c r="F205" s="1" t="s">
        <v>157</v>
      </c>
      <c r="G205" s="1" t="s">
        <v>146</v>
      </c>
      <c r="H205" s="1" t="str">
        <f>IF(COUNTIF(items_clean!$A:$A, D205)&gt;0, "Valid", "Invalid")</f>
        <v>Valid</v>
      </c>
      <c r="I205">
        <f>IF(COUNTIF(items_clean!$A:$A, D205)&gt;0, 1, 0)</f>
        <v>1</v>
      </c>
    </row>
    <row r="206" spans="1:9" x14ac:dyDescent="0.3">
      <c r="A206" s="1">
        <v>205</v>
      </c>
      <c r="B206" s="1" t="s">
        <v>332</v>
      </c>
      <c r="C206" s="4">
        <v>45336.320138888892</v>
      </c>
      <c r="D206" s="1" t="s">
        <v>105</v>
      </c>
      <c r="E206" s="3">
        <v>1</v>
      </c>
      <c r="F206" s="1" t="s">
        <v>151</v>
      </c>
      <c r="G206" s="1" t="s">
        <v>149</v>
      </c>
      <c r="H206" s="1" t="str">
        <f>IF(COUNTIF(items_clean!$A:$A, D206)&gt;0, "Valid", "Invalid")</f>
        <v>Valid</v>
      </c>
      <c r="I206">
        <f>IF(COUNTIF(items_clean!$A:$A, D206)&gt;0, 1, 0)</f>
        <v>1</v>
      </c>
    </row>
    <row r="207" spans="1:9" x14ac:dyDescent="0.3">
      <c r="A207" s="1">
        <v>206</v>
      </c>
      <c r="B207" s="1" t="s">
        <v>333</v>
      </c>
      <c r="C207" s="4">
        <v>45336.325694444444</v>
      </c>
      <c r="D207" s="1" t="s">
        <v>135</v>
      </c>
      <c r="E207" s="3">
        <v>1</v>
      </c>
      <c r="F207" s="1" t="s">
        <v>153</v>
      </c>
      <c r="G207" s="1" t="s">
        <v>146</v>
      </c>
      <c r="H207" s="1" t="str">
        <f>IF(COUNTIF(items_clean!$A:$A, D207)&gt;0, "Valid", "Invalid")</f>
        <v>Valid</v>
      </c>
      <c r="I207">
        <f>IF(COUNTIF(items_clean!$A:$A, D207)&gt;0, 1, 0)</f>
        <v>1</v>
      </c>
    </row>
    <row r="208" spans="1:9" x14ac:dyDescent="0.3">
      <c r="A208" s="1">
        <v>207</v>
      </c>
      <c r="B208" s="1" t="s">
        <v>334</v>
      </c>
      <c r="C208" s="4">
        <v>45336.330555555556</v>
      </c>
      <c r="D208" s="1" t="s">
        <v>116</v>
      </c>
      <c r="E208" s="3">
        <v>1</v>
      </c>
      <c r="F208" s="1" t="s">
        <v>155</v>
      </c>
      <c r="G208" s="1" t="s">
        <v>149</v>
      </c>
      <c r="H208" s="1" t="str">
        <f>IF(COUNTIF(items_clean!$A:$A, D208)&gt;0, "Valid", "Invalid")</f>
        <v>Valid</v>
      </c>
      <c r="I208">
        <f>IF(COUNTIF(items_clean!$A:$A, D208)&gt;0, 1, 0)</f>
        <v>1</v>
      </c>
    </row>
    <row r="209" spans="1:9" x14ac:dyDescent="0.3">
      <c r="A209" s="1">
        <v>208</v>
      </c>
      <c r="B209" s="1" t="s">
        <v>335</v>
      </c>
      <c r="C209" s="4">
        <v>45336.335416666669</v>
      </c>
      <c r="D209" s="1" t="s">
        <v>129</v>
      </c>
      <c r="E209" s="3">
        <v>1</v>
      </c>
      <c r="F209" s="1" t="s">
        <v>159</v>
      </c>
      <c r="G209" s="1" t="s">
        <v>146</v>
      </c>
      <c r="H209" s="1" t="str">
        <f>IF(COUNTIF(items_clean!$A:$A, D209)&gt;0, "Valid", "Invalid")</f>
        <v>Valid</v>
      </c>
      <c r="I209">
        <f>IF(COUNTIF(items_clean!$A:$A, D209)&gt;0, 1, 0)</f>
        <v>1</v>
      </c>
    </row>
    <row r="210" spans="1:9" x14ac:dyDescent="0.3">
      <c r="A210" s="1">
        <v>209</v>
      </c>
      <c r="B210" s="1" t="s">
        <v>336</v>
      </c>
      <c r="C210" s="4">
        <v>45336.340277777781</v>
      </c>
      <c r="D210" s="1" t="s">
        <v>102</v>
      </c>
      <c r="E210" s="3">
        <v>1</v>
      </c>
      <c r="F210" s="1" t="s">
        <v>161</v>
      </c>
      <c r="G210" s="1" t="s">
        <v>149</v>
      </c>
      <c r="H210" s="1" t="str">
        <f>IF(COUNTIF(items_clean!$A:$A, D210)&gt;0, "Valid", "Invalid")</f>
        <v>Valid</v>
      </c>
      <c r="I210">
        <f>IF(COUNTIF(items_clean!$A:$A, D210)&gt;0, 1, 0)</f>
        <v>1</v>
      </c>
    </row>
    <row r="211" spans="1:9" x14ac:dyDescent="0.3">
      <c r="A211" s="1">
        <v>210</v>
      </c>
      <c r="B211" s="1" t="s">
        <v>337</v>
      </c>
      <c r="C211" s="4">
        <v>45336.345138888886</v>
      </c>
      <c r="D211" s="1" t="s">
        <v>265</v>
      </c>
      <c r="E211" s="3">
        <v>1</v>
      </c>
      <c r="F211" s="1" t="s">
        <v>163</v>
      </c>
      <c r="G211" s="1" t="s">
        <v>146</v>
      </c>
      <c r="H211" s="1" t="str">
        <f>IF(COUNTIF(items_clean!$A:$A, D211)&gt;0, "Valid", "Invalid")</f>
        <v>Invalid</v>
      </c>
      <c r="I211">
        <f>IF(COUNTIF(items_clean!$A:$A, D211)&gt;0, 1, 0)</f>
        <v>0</v>
      </c>
    </row>
    <row r="212" spans="1:9" x14ac:dyDescent="0.3">
      <c r="A212" s="1">
        <v>211</v>
      </c>
      <c r="B212" s="1" t="s">
        <v>338</v>
      </c>
      <c r="C212" s="4">
        <v>45336.35</v>
      </c>
      <c r="D212" s="1" t="s">
        <v>108</v>
      </c>
      <c r="E212" s="3">
        <v>1</v>
      </c>
      <c r="F212" s="1" t="s">
        <v>165</v>
      </c>
      <c r="G212" s="1" t="s">
        <v>149</v>
      </c>
      <c r="H212" s="1" t="str">
        <f>IF(COUNTIF(items_clean!$A:$A, D212)&gt;0, "Valid", "Invalid")</f>
        <v>Valid</v>
      </c>
      <c r="I212">
        <f>IF(COUNTIF(items_clean!$A:$A, D212)&gt;0, 1, 0)</f>
        <v>1</v>
      </c>
    </row>
    <row r="213" spans="1:9" x14ac:dyDescent="0.3">
      <c r="A213" s="1">
        <v>212</v>
      </c>
      <c r="B213" s="1" t="s">
        <v>339</v>
      </c>
      <c r="C213" s="4">
        <v>45336.354861111111</v>
      </c>
      <c r="D213" s="1" t="s">
        <v>131</v>
      </c>
      <c r="E213" s="3">
        <v>1</v>
      </c>
      <c r="F213" s="1" t="s">
        <v>167</v>
      </c>
      <c r="G213" s="1" t="s">
        <v>146</v>
      </c>
      <c r="H213" s="1" t="str">
        <f>IF(COUNTIF(items_clean!$A:$A, D213)&gt;0, "Valid", "Invalid")</f>
        <v>Valid</v>
      </c>
      <c r="I213">
        <f>IF(COUNTIF(items_clean!$A:$A, D213)&gt;0, 1, 0)</f>
        <v>1</v>
      </c>
    </row>
    <row r="214" spans="1:9" x14ac:dyDescent="0.3">
      <c r="A214" s="1">
        <v>213</v>
      </c>
      <c r="B214" s="1" t="s">
        <v>340</v>
      </c>
      <c r="C214" s="4">
        <v>45336.359722222223</v>
      </c>
      <c r="D214" s="1" t="s">
        <v>115</v>
      </c>
      <c r="E214" s="3">
        <v>1</v>
      </c>
      <c r="F214" s="1" t="s">
        <v>249</v>
      </c>
      <c r="G214" s="1" t="s">
        <v>149</v>
      </c>
      <c r="H214" s="1" t="str">
        <f>IF(COUNTIF(items_clean!$A:$A, D214)&gt;0, "Valid", "Invalid")</f>
        <v>Valid</v>
      </c>
      <c r="I214">
        <f>IF(COUNTIF(items_clean!$A:$A, D214)&gt;0, 1, 0)</f>
        <v>1</v>
      </c>
    </row>
    <row r="215" spans="1:9" x14ac:dyDescent="0.3">
      <c r="A215" s="1">
        <v>214</v>
      </c>
      <c r="B215" s="1" t="s">
        <v>341</v>
      </c>
      <c r="C215" s="4">
        <v>45336.364583333336</v>
      </c>
      <c r="D215" s="1" t="s">
        <v>278</v>
      </c>
      <c r="E215" s="3">
        <v>1</v>
      </c>
      <c r="F215" s="1" t="s">
        <v>256</v>
      </c>
      <c r="G215" s="1" t="s">
        <v>146</v>
      </c>
      <c r="H215" s="1" t="str">
        <f>IF(COUNTIF(items_clean!$A:$A, D215)&gt;0, "Valid", "Invalid")</f>
        <v>Invalid</v>
      </c>
      <c r="I215">
        <f>IF(COUNTIF(items_clean!$A:$A, D215)&gt;0, 1, 0)</f>
        <v>0</v>
      </c>
    </row>
    <row r="216" spans="1:9" x14ac:dyDescent="0.3">
      <c r="A216" s="1">
        <v>215</v>
      </c>
      <c r="B216" s="1" t="s">
        <v>341</v>
      </c>
      <c r="C216" s="4">
        <v>45336.364583333336</v>
      </c>
      <c r="D216" s="1" t="s">
        <v>110</v>
      </c>
      <c r="E216" s="3">
        <v>1</v>
      </c>
      <c r="F216" s="1" t="s">
        <v>256</v>
      </c>
      <c r="G216" s="1" t="s">
        <v>778</v>
      </c>
      <c r="H216" s="1" t="str">
        <f>IF(COUNTIF(items_clean!$A:$A, D216)&gt;0, "Valid", "Invalid")</f>
        <v>Valid</v>
      </c>
      <c r="I216">
        <f>IF(COUNTIF(items_clean!$A:$A, D216)&gt;0, 1, 0)</f>
        <v>1</v>
      </c>
    </row>
    <row r="217" spans="1:9" x14ac:dyDescent="0.3">
      <c r="A217" s="1">
        <v>216</v>
      </c>
      <c r="B217" s="1" t="s">
        <v>342</v>
      </c>
      <c r="C217" s="4">
        <v>45336.370138888888</v>
      </c>
      <c r="D217" s="1" t="s">
        <v>119</v>
      </c>
      <c r="E217" s="3">
        <v>1</v>
      </c>
      <c r="F217" s="1" t="s">
        <v>145</v>
      </c>
      <c r="G217" s="1" t="s">
        <v>149</v>
      </c>
      <c r="H217" s="1" t="str">
        <f>IF(COUNTIF(items_clean!$A:$A, D217)&gt;0, "Valid", "Invalid")</f>
        <v>Valid</v>
      </c>
      <c r="I217">
        <f>IF(COUNTIF(items_clean!$A:$A, D217)&gt;0, 1, 0)</f>
        <v>1</v>
      </c>
    </row>
    <row r="218" spans="1:9" x14ac:dyDescent="0.3">
      <c r="A218" s="1">
        <v>217</v>
      </c>
      <c r="B218" s="1" t="s">
        <v>343</v>
      </c>
      <c r="C218" s="4">
        <v>45336.375</v>
      </c>
      <c r="D218" s="1" t="s">
        <v>254</v>
      </c>
      <c r="E218" s="3">
        <v>1</v>
      </c>
      <c r="F218" s="1" t="s">
        <v>148</v>
      </c>
      <c r="G218" s="1" t="s">
        <v>146</v>
      </c>
      <c r="H218" s="1" t="str">
        <f>IF(COUNTIF(items_clean!$A:$A, D218)&gt;0, "Valid", "Invalid")</f>
        <v>Invalid</v>
      </c>
      <c r="I218">
        <f>IF(COUNTIF(items_clean!$A:$A, D218)&gt;0, 1, 0)</f>
        <v>0</v>
      </c>
    </row>
    <row r="219" spans="1:9" x14ac:dyDescent="0.3">
      <c r="A219" s="1">
        <v>218</v>
      </c>
      <c r="B219" s="1" t="s">
        <v>344</v>
      </c>
      <c r="C219" s="4">
        <v>45336.379861111112</v>
      </c>
      <c r="D219" s="1" t="s">
        <v>104</v>
      </c>
      <c r="E219" s="3">
        <v>1</v>
      </c>
      <c r="F219" s="1" t="s">
        <v>253</v>
      </c>
      <c r="G219" s="1" t="s">
        <v>149</v>
      </c>
      <c r="H219" s="1" t="str">
        <f>IF(COUNTIF(items_clean!$A:$A, D219)&gt;0, "Valid", "Invalid")</f>
        <v>Valid</v>
      </c>
      <c r="I219">
        <f>IF(COUNTIF(items_clean!$A:$A, D219)&gt;0, 1, 0)</f>
        <v>1</v>
      </c>
    </row>
    <row r="220" spans="1:9" x14ac:dyDescent="0.3">
      <c r="A220" s="1">
        <v>219</v>
      </c>
      <c r="B220" s="1" t="s">
        <v>345</v>
      </c>
      <c r="C220" s="4">
        <v>45336.384722222225</v>
      </c>
      <c r="D220" s="1" t="s">
        <v>125</v>
      </c>
      <c r="E220" s="3">
        <v>1</v>
      </c>
      <c r="F220" s="1" t="s">
        <v>157</v>
      </c>
      <c r="G220" s="1" t="s">
        <v>146</v>
      </c>
      <c r="H220" s="1" t="str">
        <f>IF(COUNTIF(items_clean!$A:$A, D220)&gt;0, "Valid", "Invalid")</f>
        <v>Valid</v>
      </c>
      <c r="I220">
        <f>IF(COUNTIF(items_clean!$A:$A, D220)&gt;0, 1, 0)</f>
        <v>1</v>
      </c>
    </row>
    <row r="221" spans="1:9" x14ac:dyDescent="0.3">
      <c r="A221" s="1">
        <v>220</v>
      </c>
      <c r="B221" s="1" t="s">
        <v>346</v>
      </c>
      <c r="C221" s="4">
        <v>45336.38958333333</v>
      </c>
      <c r="D221" s="1" t="s">
        <v>138</v>
      </c>
      <c r="E221" s="3">
        <v>1</v>
      </c>
      <c r="F221" s="1" t="s">
        <v>151</v>
      </c>
      <c r="G221" s="1" t="s">
        <v>149</v>
      </c>
      <c r="H221" s="1" t="str">
        <f>IF(COUNTIF(items_clean!$A:$A, D221)&gt;0, "Valid", "Invalid")</f>
        <v>Valid</v>
      </c>
      <c r="I221">
        <f>IF(COUNTIF(items_clean!$A:$A, D221)&gt;0, 1, 0)</f>
        <v>1</v>
      </c>
    </row>
    <row r="222" spans="1:9" x14ac:dyDescent="0.3">
      <c r="A222" s="1">
        <v>221</v>
      </c>
      <c r="B222" s="1" t="s">
        <v>347</v>
      </c>
      <c r="C222" s="4">
        <v>45336.394444444442</v>
      </c>
      <c r="D222" s="1" t="s">
        <v>118</v>
      </c>
      <c r="E222" s="3">
        <v>1</v>
      </c>
      <c r="F222" s="1" t="s">
        <v>153</v>
      </c>
      <c r="G222" s="1" t="s">
        <v>146</v>
      </c>
      <c r="H222" s="1" t="str">
        <f>IF(COUNTIF(items_clean!$A:$A, D222)&gt;0, "Valid", "Invalid")</f>
        <v>Valid</v>
      </c>
      <c r="I222">
        <f>IF(COUNTIF(items_clean!$A:$A, D222)&gt;0, 1, 0)</f>
        <v>1</v>
      </c>
    </row>
    <row r="223" spans="1:9" x14ac:dyDescent="0.3">
      <c r="A223" s="1">
        <v>222</v>
      </c>
      <c r="B223" s="1" t="s">
        <v>348</v>
      </c>
      <c r="C223" s="4">
        <v>45336.399305555555</v>
      </c>
      <c r="D223" s="1" t="s">
        <v>113</v>
      </c>
      <c r="E223" s="3">
        <v>1</v>
      </c>
      <c r="F223" s="1" t="s">
        <v>155</v>
      </c>
      <c r="G223" s="1" t="s">
        <v>149</v>
      </c>
      <c r="H223" s="1" t="str">
        <f>IF(COUNTIF(items_clean!$A:$A, D223)&gt;0, "Valid", "Invalid")</f>
        <v>Valid</v>
      </c>
      <c r="I223">
        <f>IF(COUNTIF(items_clean!$A:$A, D223)&gt;0, 1, 0)</f>
        <v>1</v>
      </c>
    </row>
    <row r="224" spans="1:9" x14ac:dyDescent="0.3">
      <c r="A224" s="1">
        <v>223</v>
      </c>
      <c r="B224" s="1" t="s">
        <v>349</v>
      </c>
      <c r="C224" s="4">
        <v>45336.404166666667</v>
      </c>
      <c r="D224" s="1" t="s">
        <v>100</v>
      </c>
      <c r="E224" s="3">
        <v>1</v>
      </c>
      <c r="F224" s="1" t="s">
        <v>159</v>
      </c>
      <c r="G224" s="1" t="s">
        <v>146</v>
      </c>
      <c r="H224" s="1" t="str">
        <f>IF(COUNTIF(items_clean!$A:$A, D224)&gt;0, "Valid", "Invalid")</f>
        <v>Valid</v>
      </c>
      <c r="I224">
        <f>IF(COUNTIF(items_clean!$A:$A, D224)&gt;0, 1, 0)</f>
        <v>1</v>
      </c>
    </row>
    <row r="225" spans="1:9" x14ac:dyDescent="0.3">
      <c r="A225" s="1">
        <v>224</v>
      </c>
      <c r="B225" s="1" t="s">
        <v>350</v>
      </c>
      <c r="C225" s="4">
        <v>45336.40902777778</v>
      </c>
      <c r="D225" s="1" t="s">
        <v>128</v>
      </c>
      <c r="E225" s="3">
        <v>1</v>
      </c>
      <c r="F225" s="1" t="s">
        <v>161</v>
      </c>
      <c r="G225" s="1" t="s">
        <v>149</v>
      </c>
      <c r="H225" s="1" t="str">
        <f>IF(COUNTIF(items_clean!$A:$A, D225)&gt;0, "Valid", "Invalid")</f>
        <v>Valid</v>
      </c>
      <c r="I225">
        <f>IF(COUNTIF(items_clean!$A:$A, D225)&gt;0, 1, 0)</f>
        <v>1</v>
      </c>
    </row>
    <row r="226" spans="1:9" x14ac:dyDescent="0.3">
      <c r="A226" s="1">
        <v>225</v>
      </c>
      <c r="B226" s="1" t="s">
        <v>351</v>
      </c>
      <c r="C226" s="4">
        <v>45336.414583333331</v>
      </c>
      <c r="D226" s="1" t="s">
        <v>132</v>
      </c>
      <c r="E226" s="3">
        <v>1</v>
      </c>
      <c r="F226" s="1" t="s">
        <v>163</v>
      </c>
      <c r="G226" s="1" t="s">
        <v>146</v>
      </c>
      <c r="H226" s="1" t="str">
        <f>IF(COUNTIF(items_clean!$A:$A, D226)&gt;0, "Valid", "Invalid")</f>
        <v>Valid</v>
      </c>
      <c r="I226">
        <f>IF(COUNTIF(items_clean!$A:$A, D226)&gt;0, 1, 0)</f>
        <v>1</v>
      </c>
    </row>
    <row r="227" spans="1:9" x14ac:dyDescent="0.3">
      <c r="A227" s="1">
        <v>226</v>
      </c>
      <c r="B227" s="1" t="s">
        <v>352</v>
      </c>
      <c r="C227" s="4">
        <v>45336.419444444444</v>
      </c>
      <c r="D227" s="1" t="s">
        <v>122</v>
      </c>
      <c r="E227" s="3">
        <v>1</v>
      </c>
      <c r="F227" s="1" t="s">
        <v>167</v>
      </c>
      <c r="G227" s="1" t="s">
        <v>149</v>
      </c>
      <c r="H227" s="1" t="str">
        <f>IF(COUNTIF(items_clean!$A:$A, D227)&gt;0, "Valid", "Invalid")</f>
        <v>Valid</v>
      </c>
      <c r="I227">
        <f>IF(COUNTIF(items_clean!$A:$A, D227)&gt;0, 1, 0)</f>
        <v>1</v>
      </c>
    </row>
    <row r="228" spans="1:9" x14ac:dyDescent="0.3">
      <c r="A228" s="1">
        <v>227</v>
      </c>
      <c r="B228" s="1" t="s">
        <v>353</v>
      </c>
      <c r="C228" s="4">
        <v>45336.431250000001</v>
      </c>
      <c r="D228" s="1" t="s">
        <v>110</v>
      </c>
      <c r="E228" s="3">
        <v>1</v>
      </c>
      <c r="F228" s="1" t="s">
        <v>249</v>
      </c>
      <c r="G228" s="1" t="s">
        <v>146</v>
      </c>
      <c r="H228" s="1" t="str">
        <f>IF(COUNTIF(items_clean!$A:$A, D228)&gt;0, "Valid", "Invalid")</f>
        <v>Valid</v>
      </c>
      <c r="I228">
        <f>IF(COUNTIF(items_clean!$A:$A, D228)&gt;0, 1, 0)</f>
        <v>1</v>
      </c>
    </row>
    <row r="229" spans="1:9" x14ac:dyDescent="0.3">
      <c r="A229" s="1">
        <v>228</v>
      </c>
      <c r="B229" s="1" t="s">
        <v>354</v>
      </c>
      <c r="C229" s="4">
        <v>45336.443055555559</v>
      </c>
      <c r="D229" s="1" t="s">
        <v>254</v>
      </c>
      <c r="E229" s="3">
        <v>1</v>
      </c>
      <c r="F229" s="1" t="s">
        <v>256</v>
      </c>
      <c r="G229" s="1" t="s">
        <v>149</v>
      </c>
      <c r="H229" s="1" t="str">
        <f>IF(COUNTIF(items_clean!$A:$A, D229)&gt;0, "Valid", "Invalid")</f>
        <v>Invalid</v>
      </c>
      <c r="I229">
        <f>IF(COUNTIF(items_clean!$A:$A, D229)&gt;0, 1, 0)</f>
        <v>0</v>
      </c>
    </row>
    <row r="230" spans="1:9" x14ac:dyDescent="0.3">
      <c r="A230" s="1">
        <v>229</v>
      </c>
      <c r="B230" s="1" t="s">
        <v>355</v>
      </c>
      <c r="C230" s="4">
        <v>45336.454861111109</v>
      </c>
      <c r="D230" s="1" t="s">
        <v>96</v>
      </c>
      <c r="E230" s="3">
        <v>1</v>
      </c>
      <c r="F230" s="1" t="s">
        <v>145</v>
      </c>
      <c r="G230" s="1" t="s">
        <v>146</v>
      </c>
      <c r="H230" s="1" t="str">
        <f>IF(COUNTIF(items_clean!$A:$A, D230)&gt;0, "Valid", "Invalid")</f>
        <v>Valid</v>
      </c>
      <c r="I230">
        <f>IF(COUNTIF(items_clean!$A:$A, D230)&gt;0, 1, 0)</f>
        <v>1</v>
      </c>
    </row>
    <row r="231" spans="1:9" x14ac:dyDescent="0.3">
      <c r="A231" s="1">
        <v>230</v>
      </c>
      <c r="B231" s="1" t="s">
        <v>356</v>
      </c>
      <c r="C231" s="4">
        <v>45336.466666666667</v>
      </c>
      <c r="D231" s="1" t="s">
        <v>138</v>
      </c>
      <c r="E231" s="3">
        <v>1</v>
      </c>
      <c r="F231" s="1" t="s">
        <v>148</v>
      </c>
      <c r="G231" s="1" t="s">
        <v>149</v>
      </c>
      <c r="H231" s="1" t="str">
        <f>IF(COUNTIF(items_clean!$A:$A, D231)&gt;0, "Valid", "Invalid")</f>
        <v>Valid</v>
      </c>
      <c r="I231">
        <f>IF(COUNTIF(items_clean!$A:$A, D231)&gt;0, 1, 0)</f>
        <v>1</v>
      </c>
    </row>
    <row r="232" spans="1:9" x14ac:dyDescent="0.3">
      <c r="A232" s="1">
        <v>231</v>
      </c>
      <c r="B232" s="1" t="s">
        <v>357</v>
      </c>
      <c r="C232" s="4">
        <v>45336.478472222225</v>
      </c>
      <c r="D232" s="1" t="s">
        <v>128</v>
      </c>
      <c r="E232" s="3">
        <v>1</v>
      </c>
      <c r="F232" s="1" t="s">
        <v>253</v>
      </c>
      <c r="G232" s="1" t="s">
        <v>146</v>
      </c>
      <c r="H232" s="1" t="str">
        <f>IF(COUNTIF(items_clean!$A:$A, D232)&gt;0, "Valid", "Invalid")</f>
        <v>Valid</v>
      </c>
      <c r="I232">
        <f>IF(COUNTIF(items_clean!$A:$A, D232)&gt;0, 1, 0)</f>
        <v>1</v>
      </c>
    </row>
    <row r="233" spans="1:9" x14ac:dyDescent="0.3">
      <c r="A233" s="1">
        <v>232</v>
      </c>
      <c r="B233" s="1" t="s">
        <v>357</v>
      </c>
      <c r="C233" s="4">
        <v>45336.478472222225</v>
      </c>
      <c r="D233" s="1" t="s">
        <v>134</v>
      </c>
      <c r="E233" s="3">
        <v>1</v>
      </c>
      <c r="F233" s="1" t="s">
        <v>253</v>
      </c>
      <c r="G233" s="1" t="s">
        <v>778</v>
      </c>
      <c r="H233" s="1" t="str">
        <f>IF(COUNTIF(items_clean!$A:$A, D233)&gt;0, "Valid", "Invalid")</f>
        <v>Valid</v>
      </c>
      <c r="I233">
        <f>IF(COUNTIF(items_clean!$A:$A, D233)&gt;0, 1, 0)</f>
        <v>1</v>
      </c>
    </row>
    <row r="234" spans="1:9" x14ac:dyDescent="0.3">
      <c r="A234" s="1">
        <v>233</v>
      </c>
      <c r="B234" s="1" t="s">
        <v>358</v>
      </c>
      <c r="C234" s="4">
        <v>45336.490277777775</v>
      </c>
      <c r="D234" s="1" t="s">
        <v>118</v>
      </c>
      <c r="E234" s="3">
        <v>1</v>
      </c>
      <c r="F234" s="1" t="s">
        <v>157</v>
      </c>
      <c r="G234" s="1" t="s">
        <v>149</v>
      </c>
      <c r="H234" s="1" t="str">
        <f>IF(COUNTIF(items_clean!$A:$A, D234)&gt;0, "Valid", "Invalid")</f>
        <v>Valid</v>
      </c>
      <c r="I234">
        <f>IF(COUNTIF(items_clean!$A:$A, D234)&gt;0, 1, 0)</f>
        <v>1</v>
      </c>
    </row>
    <row r="235" spans="1:9" x14ac:dyDescent="0.3">
      <c r="A235" s="1">
        <v>234</v>
      </c>
      <c r="B235" s="1" t="s">
        <v>359</v>
      </c>
      <c r="C235" s="4">
        <v>45336.502083333333</v>
      </c>
      <c r="D235" s="1" t="s">
        <v>102</v>
      </c>
      <c r="E235" s="3">
        <v>1</v>
      </c>
      <c r="F235" s="1" t="s">
        <v>151</v>
      </c>
      <c r="G235" s="1" t="s">
        <v>146</v>
      </c>
      <c r="H235" s="1" t="str">
        <f>IF(COUNTIF(items_clean!$A:$A, D235)&gt;0, "Valid", "Invalid")</f>
        <v>Valid</v>
      </c>
      <c r="I235">
        <f>IF(COUNTIF(items_clean!$A:$A, D235)&gt;0, 1, 0)</f>
        <v>1</v>
      </c>
    </row>
    <row r="236" spans="1:9" x14ac:dyDescent="0.3">
      <c r="A236" s="1">
        <v>235</v>
      </c>
      <c r="B236" s="1" t="s">
        <v>360</v>
      </c>
      <c r="C236" s="4">
        <v>45336.506944444445</v>
      </c>
      <c r="D236" s="1" t="s">
        <v>125</v>
      </c>
      <c r="E236" s="3">
        <v>1</v>
      </c>
      <c r="F236" s="1" t="s">
        <v>153</v>
      </c>
      <c r="G236" s="1" t="s">
        <v>149</v>
      </c>
      <c r="H236" s="1" t="str">
        <f>IF(COUNTIF(items_clean!$A:$A, D236)&gt;0, "Valid", "Invalid")</f>
        <v>Valid</v>
      </c>
      <c r="I236">
        <f>IF(COUNTIF(items_clean!$A:$A, D236)&gt;0, 1, 0)</f>
        <v>1</v>
      </c>
    </row>
    <row r="237" spans="1:9" x14ac:dyDescent="0.3">
      <c r="A237" s="1">
        <v>236</v>
      </c>
      <c r="B237" s="1" t="s">
        <v>361</v>
      </c>
      <c r="C237" s="4">
        <v>45336.511805555558</v>
      </c>
      <c r="D237" s="1" t="s">
        <v>113</v>
      </c>
      <c r="E237" s="3">
        <v>1</v>
      </c>
      <c r="F237" s="1" t="s">
        <v>155</v>
      </c>
      <c r="G237" s="1" t="s">
        <v>146</v>
      </c>
      <c r="H237" s="1" t="str">
        <f>IF(COUNTIF(items_clean!$A:$A, D237)&gt;0, "Valid", "Invalid")</f>
        <v>Valid</v>
      </c>
      <c r="I237">
        <f>IF(COUNTIF(items_clean!$A:$A, D237)&gt;0, 1, 0)</f>
        <v>1</v>
      </c>
    </row>
    <row r="238" spans="1:9" x14ac:dyDescent="0.3">
      <c r="A238" s="1">
        <v>237</v>
      </c>
      <c r="B238" s="1" t="s">
        <v>362</v>
      </c>
      <c r="C238" s="4">
        <v>45336.51666666667</v>
      </c>
      <c r="D238" s="1" t="s">
        <v>265</v>
      </c>
      <c r="E238" s="3">
        <v>1</v>
      </c>
      <c r="F238" s="1" t="s">
        <v>159</v>
      </c>
      <c r="G238" s="1" t="s">
        <v>149</v>
      </c>
      <c r="H238" s="1" t="str">
        <f>IF(COUNTIF(items_clean!$A:$A, D238)&gt;0, "Valid", "Invalid")</f>
        <v>Invalid</v>
      </c>
      <c r="I238">
        <f>IF(COUNTIF(items_clean!$A:$A, D238)&gt;0, 1, 0)</f>
        <v>0</v>
      </c>
    </row>
    <row r="239" spans="1:9" x14ac:dyDescent="0.3">
      <c r="A239" s="1">
        <v>238</v>
      </c>
      <c r="B239" s="1" t="s">
        <v>363</v>
      </c>
      <c r="C239" s="4">
        <v>45336.521527777775</v>
      </c>
      <c r="D239" s="1" t="s">
        <v>105</v>
      </c>
      <c r="E239" s="3">
        <v>1</v>
      </c>
      <c r="F239" s="1" t="s">
        <v>161</v>
      </c>
      <c r="G239" s="1" t="s">
        <v>146</v>
      </c>
      <c r="H239" s="1" t="str">
        <f>IF(COUNTIF(items_clean!$A:$A, D239)&gt;0, "Valid", "Invalid")</f>
        <v>Valid</v>
      </c>
      <c r="I239">
        <f>IF(COUNTIF(items_clean!$A:$A, D239)&gt;0, 1, 0)</f>
        <v>1</v>
      </c>
    </row>
    <row r="240" spans="1:9" x14ac:dyDescent="0.3">
      <c r="A240" s="1">
        <v>239</v>
      </c>
      <c r="B240" s="1" t="s">
        <v>363</v>
      </c>
      <c r="C240" s="4">
        <v>45336.521527777775</v>
      </c>
      <c r="D240" s="1" t="s">
        <v>116</v>
      </c>
      <c r="E240" s="3">
        <v>1</v>
      </c>
      <c r="F240" s="1" t="s">
        <v>161</v>
      </c>
      <c r="G240" s="1" t="s">
        <v>778</v>
      </c>
      <c r="H240" s="1" t="str">
        <f>IF(COUNTIF(items_clean!$A:$A, D240)&gt;0, "Valid", "Invalid")</f>
        <v>Valid</v>
      </c>
      <c r="I240">
        <f>IF(COUNTIF(items_clean!$A:$A, D240)&gt;0, 1, 0)</f>
        <v>1</v>
      </c>
    </row>
    <row r="241" spans="1:9" x14ac:dyDescent="0.3">
      <c r="A241" s="1">
        <v>240</v>
      </c>
      <c r="B241" s="1" t="s">
        <v>364</v>
      </c>
      <c r="C241" s="4">
        <v>45336.526388888888</v>
      </c>
      <c r="D241" s="1" t="s">
        <v>121</v>
      </c>
      <c r="E241" s="3">
        <v>1</v>
      </c>
      <c r="F241" s="1" t="s">
        <v>163</v>
      </c>
      <c r="G241" s="1" t="s">
        <v>149</v>
      </c>
      <c r="H241" s="1" t="str">
        <f>IF(COUNTIF(items_clean!$A:$A, D241)&gt;0, "Valid", "Invalid")</f>
        <v>Valid</v>
      </c>
      <c r="I241">
        <f>IF(COUNTIF(items_clean!$A:$A, D241)&gt;0, 1, 0)</f>
        <v>1</v>
      </c>
    </row>
    <row r="242" spans="1:9" x14ac:dyDescent="0.3">
      <c r="A242" s="1">
        <v>241</v>
      </c>
      <c r="B242" s="1" t="s">
        <v>365</v>
      </c>
      <c r="C242" s="4">
        <v>45336.53125</v>
      </c>
      <c r="D242" s="1" t="s">
        <v>131</v>
      </c>
      <c r="E242" s="3">
        <v>1</v>
      </c>
      <c r="F242" s="1" t="s">
        <v>165</v>
      </c>
      <c r="G242" s="1" t="s">
        <v>146</v>
      </c>
      <c r="H242" s="1" t="str">
        <f>IF(COUNTIF(items_clean!$A:$A, D242)&gt;0, "Valid", "Invalid")</f>
        <v>Valid</v>
      </c>
      <c r="I242">
        <f>IF(COUNTIF(items_clean!$A:$A, D242)&gt;0, 1, 0)</f>
        <v>1</v>
      </c>
    </row>
    <row r="243" spans="1:9" x14ac:dyDescent="0.3">
      <c r="A243" s="1">
        <v>242</v>
      </c>
      <c r="B243" s="1" t="s">
        <v>366</v>
      </c>
      <c r="C243" s="4">
        <v>45336.536111111112</v>
      </c>
      <c r="D243" s="1" t="s">
        <v>108</v>
      </c>
      <c r="E243" s="3">
        <v>1</v>
      </c>
      <c r="F243" s="1" t="s">
        <v>167</v>
      </c>
      <c r="G243" s="1" t="s">
        <v>149</v>
      </c>
      <c r="H243" s="1" t="str">
        <f>IF(COUNTIF(items_clean!$A:$A, D243)&gt;0, "Valid", "Invalid")</f>
        <v>Valid</v>
      </c>
      <c r="I243">
        <f>IF(COUNTIF(items_clean!$A:$A, D243)&gt;0, 1, 0)</f>
        <v>1</v>
      </c>
    </row>
    <row r="244" spans="1:9" x14ac:dyDescent="0.3">
      <c r="A244" s="1">
        <v>243</v>
      </c>
      <c r="B244" s="1" t="s">
        <v>367</v>
      </c>
      <c r="C244" s="4">
        <v>45336.541666666664</v>
      </c>
      <c r="D244" s="1" t="s">
        <v>134</v>
      </c>
      <c r="E244" s="3">
        <v>1</v>
      </c>
      <c r="F244" s="1" t="s">
        <v>249</v>
      </c>
      <c r="G244" s="1" t="s">
        <v>146</v>
      </c>
      <c r="H244" s="1" t="str">
        <f>IF(COUNTIF(items_clean!$A:$A, D244)&gt;0, "Valid", "Invalid")</f>
        <v>Valid</v>
      </c>
      <c r="I244">
        <f>IF(COUNTIF(items_clean!$A:$A, D244)&gt;0, 1, 0)</f>
        <v>1</v>
      </c>
    </row>
    <row r="245" spans="1:9" x14ac:dyDescent="0.3">
      <c r="A245" s="1">
        <v>244</v>
      </c>
      <c r="B245" s="1" t="s">
        <v>368</v>
      </c>
      <c r="C245" s="4">
        <v>45336.547222222223</v>
      </c>
      <c r="D245" s="1" t="s">
        <v>126</v>
      </c>
      <c r="E245" s="3">
        <v>1</v>
      </c>
      <c r="F245" s="1" t="s">
        <v>256</v>
      </c>
      <c r="G245" s="1" t="s">
        <v>149</v>
      </c>
      <c r="H245" s="1" t="str">
        <f>IF(COUNTIF(items_clean!$A:$A, D245)&gt;0, "Valid", "Invalid")</f>
        <v>Valid</v>
      </c>
      <c r="I245">
        <f>IF(COUNTIF(items_clean!$A:$A, D245)&gt;0, 1, 0)</f>
        <v>1</v>
      </c>
    </row>
    <row r="246" spans="1:9" x14ac:dyDescent="0.3">
      <c r="A246" s="1">
        <v>245</v>
      </c>
      <c r="B246" s="1" t="s">
        <v>369</v>
      </c>
      <c r="C246" s="4">
        <v>45336.552083333336</v>
      </c>
      <c r="D246" s="1" t="s">
        <v>115</v>
      </c>
      <c r="E246" s="3">
        <v>1</v>
      </c>
      <c r="F246" s="1" t="s">
        <v>145</v>
      </c>
      <c r="G246" s="1" t="s">
        <v>146</v>
      </c>
      <c r="H246" s="1" t="str">
        <f>IF(COUNTIF(items_clean!$A:$A, D246)&gt;0, "Valid", "Invalid")</f>
        <v>Valid</v>
      </c>
      <c r="I246">
        <f>IF(COUNTIF(items_clean!$A:$A, D246)&gt;0, 1, 0)</f>
        <v>1</v>
      </c>
    </row>
    <row r="247" spans="1:9" x14ac:dyDescent="0.3">
      <c r="A247" s="1">
        <v>246</v>
      </c>
      <c r="B247" s="1" t="s">
        <v>370</v>
      </c>
      <c r="C247" s="4">
        <v>45336.556944444441</v>
      </c>
      <c r="D247" s="1" t="s">
        <v>138</v>
      </c>
      <c r="E247" s="3">
        <v>1</v>
      </c>
      <c r="F247" s="1" t="s">
        <v>148</v>
      </c>
      <c r="G247" s="1" t="s">
        <v>149</v>
      </c>
      <c r="H247" s="1" t="str">
        <f>IF(COUNTIF(items_clean!$A:$A, D247)&gt;0, "Valid", "Invalid")</f>
        <v>Valid</v>
      </c>
      <c r="I247">
        <f>IF(COUNTIF(items_clean!$A:$A, D247)&gt;0, 1, 0)</f>
        <v>1</v>
      </c>
    </row>
    <row r="248" spans="1:9" x14ac:dyDescent="0.3">
      <c r="A248" s="1">
        <v>247</v>
      </c>
      <c r="B248" s="1" t="s">
        <v>370</v>
      </c>
      <c r="C248" s="4">
        <v>45336.556944444441</v>
      </c>
      <c r="D248" s="1" t="s">
        <v>111</v>
      </c>
      <c r="E248" s="3">
        <v>1</v>
      </c>
      <c r="F248" s="1" t="s">
        <v>148</v>
      </c>
      <c r="G248" s="1" t="s">
        <v>778</v>
      </c>
      <c r="H248" s="1" t="str">
        <f>IF(COUNTIF(items_clean!$A:$A, D248)&gt;0, "Valid", "Invalid")</f>
        <v>Valid</v>
      </c>
      <c r="I248">
        <f>IF(COUNTIF(items_clean!$A:$A, D248)&gt;0, 1, 0)</f>
        <v>1</v>
      </c>
    </row>
    <row r="249" spans="1:9" x14ac:dyDescent="0.3">
      <c r="A249" s="1">
        <v>248</v>
      </c>
      <c r="B249" s="1" t="s">
        <v>371</v>
      </c>
      <c r="C249" s="4">
        <v>45336.561805555553</v>
      </c>
      <c r="D249" s="1" t="s">
        <v>96</v>
      </c>
      <c r="E249" s="3">
        <v>1</v>
      </c>
      <c r="F249" s="1" t="s">
        <v>253</v>
      </c>
      <c r="G249" s="1" t="s">
        <v>146</v>
      </c>
      <c r="H249" s="1" t="str">
        <f>IF(COUNTIF(items_clean!$A:$A, D249)&gt;0, "Valid", "Invalid")</f>
        <v>Valid</v>
      </c>
      <c r="I249">
        <f>IF(COUNTIF(items_clean!$A:$A, D249)&gt;0, 1, 0)</f>
        <v>1</v>
      </c>
    </row>
    <row r="250" spans="1:9" x14ac:dyDescent="0.3">
      <c r="A250" s="1">
        <v>249</v>
      </c>
      <c r="B250" s="1" t="s">
        <v>372</v>
      </c>
      <c r="C250" s="4">
        <v>45336.566666666666</v>
      </c>
      <c r="D250" s="1" t="s">
        <v>129</v>
      </c>
      <c r="E250" s="3">
        <v>1</v>
      </c>
      <c r="F250" s="1" t="s">
        <v>157</v>
      </c>
      <c r="G250" s="1" t="s">
        <v>149</v>
      </c>
      <c r="H250" s="1" t="str">
        <f>IF(COUNTIF(items_clean!$A:$A, D250)&gt;0, "Valid", "Invalid")</f>
        <v>Valid</v>
      </c>
      <c r="I250">
        <f>IF(COUNTIF(items_clean!$A:$A, D250)&gt;0, 1, 0)</f>
        <v>1</v>
      </c>
    </row>
    <row r="251" spans="1:9" x14ac:dyDescent="0.3">
      <c r="A251" s="1">
        <v>250</v>
      </c>
      <c r="B251" s="1" t="s">
        <v>373</v>
      </c>
      <c r="C251" s="4">
        <v>45336.571527777778</v>
      </c>
      <c r="D251" s="1" t="s">
        <v>119</v>
      </c>
      <c r="E251" s="3">
        <v>1</v>
      </c>
      <c r="F251" s="1" t="s">
        <v>151</v>
      </c>
      <c r="G251" s="1" t="s">
        <v>146</v>
      </c>
      <c r="H251" s="1" t="str">
        <f>IF(COUNTIF(items_clean!$A:$A, D251)&gt;0, "Valid", "Invalid")</f>
        <v>Valid</v>
      </c>
      <c r="I251">
        <f>IF(COUNTIF(items_clean!$A:$A, D251)&gt;0, 1, 0)</f>
        <v>1</v>
      </c>
    </row>
    <row r="252" spans="1:9" x14ac:dyDescent="0.3">
      <c r="A252" s="1">
        <v>251</v>
      </c>
      <c r="B252" s="1" t="s">
        <v>374</v>
      </c>
      <c r="C252" s="4">
        <v>45336.576388888891</v>
      </c>
      <c r="D252" s="1" t="s">
        <v>272</v>
      </c>
      <c r="E252" s="3">
        <v>1</v>
      </c>
      <c r="F252" s="1" t="s">
        <v>153</v>
      </c>
      <c r="G252" s="1" t="s">
        <v>149</v>
      </c>
      <c r="H252" s="1" t="str">
        <f>IF(COUNTIF(items_clean!$A:$A, D252)&gt;0, "Valid", "Invalid")</f>
        <v>Invalid</v>
      </c>
      <c r="I252">
        <f>IF(COUNTIF(items_clean!$A:$A, D252)&gt;0, 1, 0)</f>
        <v>0</v>
      </c>
    </row>
    <row r="253" spans="1:9" x14ac:dyDescent="0.3">
      <c r="A253" s="1">
        <v>252</v>
      </c>
      <c r="B253" s="1" t="s">
        <v>375</v>
      </c>
      <c r="C253" s="4">
        <v>45336.581250000003</v>
      </c>
      <c r="D253" s="1" t="s">
        <v>104</v>
      </c>
      <c r="E253" s="3">
        <v>1</v>
      </c>
      <c r="F253" s="1" t="s">
        <v>155</v>
      </c>
      <c r="G253" s="1" t="s">
        <v>146</v>
      </c>
      <c r="H253" s="1" t="str">
        <f>IF(COUNTIF(items_clean!$A:$A, D253)&gt;0, "Valid", "Invalid")</f>
        <v>Valid</v>
      </c>
      <c r="I253">
        <f>IF(COUNTIF(items_clean!$A:$A, D253)&gt;0, 1, 0)</f>
        <v>1</v>
      </c>
    </row>
    <row r="254" spans="1:9" x14ac:dyDescent="0.3">
      <c r="A254" s="1">
        <v>253</v>
      </c>
      <c r="B254" s="1" t="s">
        <v>376</v>
      </c>
      <c r="C254" s="4">
        <v>45336.586805555555</v>
      </c>
      <c r="D254" s="1" t="s">
        <v>132</v>
      </c>
      <c r="E254" s="3">
        <v>1</v>
      </c>
      <c r="F254" s="1" t="s">
        <v>159</v>
      </c>
      <c r="G254" s="1" t="s">
        <v>149</v>
      </c>
      <c r="H254" s="1" t="str">
        <f>IF(COUNTIF(items_clean!$A:$A, D254)&gt;0, "Valid", "Invalid")</f>
        <v>Valid</v>
      </c>
      <c r="I254">
        <f>IF(COUNTIF(items_clean!$A:$A, D254)&gt;0, 1, 0)</f>
        <v>1</v>
      </c>
    </row>
    <row r="255" spans="1:9" x14ac:dyDescent="0.3">
      <c r="A255" s="1">
        <v>254</v>
      </c>
      <c r="B255" s="1" t="s">
        <v>376</v>
      </c>
      <c r="C255" s="4">
        <v>45336.586805555555</v>
      </c>
      <c r="D255" s="1" t="s">
        <v>100</v>
      </c>
      <c r="E255" s="3">
        <v>1</v>
      </c>
      <c r="F255" s="1" t="s">
        <v>159</v>
      </c>
      <c r="G255" s="1" t="s">
        <v>778</v>
      </c>
      <c r="H255" s="1" t="str">
        <f>IF(COUNTIF(items_clean!$A:$A, D255)&gt;0, "Valid", "Invalid")</f>
        <v>Valid</v>
      </c>
      <c r="I255">
        <f>IF(COUNTIF(items_clean!$A:$A, D255)&gt;0, 1, 0)</f>
        <v>1</v>
      </c>
    </row>
    <row r="256" spans="1:9" x14ac:dyDescent="0.3">
      <c r="A256" s="1">
        <v>255</v>
      </c>
      <c r="B256" s="1" t="s">
        <v>377</v>
      </c>
      <c r="C256" s="4">
        <v>45336.591666666667</v>
      </c>
      <c r="D256" s="1" t="s">
        <v>128</v>
      </c>
      <c r="E256" s="3">
        <v>1</v>
      </c>
      <c r="F256" s="1" t="s">
        <v>161</v>
      </c>
      <c r="G256" s="1" t="s">
        <v>146</v>
      </c>
      <c r="H256" s="1" t="str">
        <f>IF(COUNTIF(items_clean!$A:$A, D256)&gt;0, "Valid", "Invalid")</f>
        <v>Valid</v>
      </c>
      <c r="I256">
        <f>IF(COUNTIF(items_clean!$A:$A, D256)&gt;0, 1, 0)</f>
        <v>1</v>
      </c>
    </row>
    <row r="257" spans="1:9" x14ac:dyDescent="0.3">
      <c r="A257" s="1">
        <v>256</v>
      </c>
      <c r="B257" s="1" t="s">
        <v>378</v>
      </c>
      <c r="C257" s="4">
        <v>45336.59652777778</v>
      </c>
      <c r="D257" s="1" t="s">
        <v>278</v>
      </c>
      <c r="E257" s="3">
        <v>1</v>
      </c>
      <c r="F257" s="1" t="s">
        <v>163</v>
      </c>
      <c r="G257" s="1" t="s">
        <v>149</v>
      </c>
      <c r="H257" s="1" t="str">
        <f>IF(COUNTIF(items_clean!$A:$A, D257)&gt;0, "Valid", "Invalid")</f>
        <v>Invalid</v>
      </c>
      <c r="I257">
        <f>IF(COUNTIF(items_clean!$A:$A, D257)&gt;0, 1, 0)</f>
        <v>0</v>
      </c>
    </row>
    <row r="258" spans="1:9" x14ac:dyDescent="0.3">
      <c r="A258" s="1">
        <v>257</v>
      </c>
      <c r="B258" s="1" t="s">
        <v>379</v>
      </c>
      <c r="C258" s="4">
        <v>45336.601388888892</v>
      </c>
      <c r="D258" s="1" t="s">
        <v>110</v>
      </c>
      <c r="E258" s="3">
        <v>1</v>
      </c>
      <c r="F258" s="1" t="s">
        <v>165</v>
      </c>
      <c r="G258" s="1" t="s">
        <v>146</v>
      </c>
      <c r="H258" s="1" t="str">
        <f>IF(COUNTIF(items_clean!$A:$A, D258)&gt;0, "Valid", "Invalid")</f>
        <v>Valid</v>
      </c>
      <c r="I258">
        <f>IF(COUNTIF(items_clean!$A:$A, D258)&gt;0, 1, 0)</f>
        <v>1</v>
      </c>
    </row>
    <row r="259" spans="1:9" x14ac:dyDescent="0.3">
      <c r="A259" s="1">
        <v>258</v>
      </c>
      <c r="B259" s="1" t="s">
        <v>380</v>
      </c>
      <c r="C259" s="4">
        <v>45336.606249999997</v>
      </c>
      <c r="D259" s="1" t="s">
        <v>118</v>
      </c>
      <c r="E259" s="3">
        <v>1</v>
      </c>
      <c r="F259" s="1" t="s">
        <v>167</v>
      </c>
      <c r="G259" s="1" t="s">
        <v>149</v>
      </c>
      <c r="H259" s="1" t="str">
        <f>IF(COUNTIF(items_clean!$A:$A, D259)&gt;0, "Valid", "Invalid")</f>
        <v>Valid</v>
      </c>
      <c r="I259">
        <f>IF(COUNTIF(items_clean!$A:$A, D259)&gt;0, 1, 0)</f>
        <v>1</v>
      </c>
    </row>
    <row r="260" spans="1:9" x14ac:dyDescent="0.3">
      <c r="A260" s="1">
        <v>259</v>
      </c>
      <c r="B260" s="1" t="s">
        <v>381</v>
      </c>
      <c r="C260" s="4">
        <v>45336.611111111109</v>
      </c>
      <c r="D260" s="1" t="s">
        <v>254</v>
      </c>
      <c r="E260" s="3">
        <v>1</v>
      </c>
      <c r="F260" s="1" t="s">
        <v>249</v>
      </c>
      <c r="G260" s="1" t="s">
        <v>146</v>
      </c>
      <c r="H260" s="1" t="str">
        <f>IF(COUNTIF(items_clean!$A:$A, D260)&gt;0, "Valid", "Invalid")</f>
        <v>Invalid</v>
      </c>
      <c r="I260">
        <f>IF(COUNTIF(items_clean!$A:$A, D260)&gt;0, 1, 0)</f>
        <v>0</v>
      </c>
    </row>
    <row r="261" spans="1:9" x14ac:dyDescent="0.3">
      <c r="A261" s="1">
        <v>260</v>
      </c>
      <c r="B261" s="1" t="s">
        <v>382</v>
      </c>
      <c r="C261" s="4">
        <v>45336.615972222222</v>
      </c>
      <c r="D261" s="1" t="s">
        <v>122</v>
      </c>
      <c r="E261" s="3">
        <v>1</v>
      </c>
      <c r="F261" s="1" t="s">
        <v>256</v>
      </c>
      <c r="G261" s="1" t="s">
        <v>149</v>
      </c>
      <c r="H261" s="1" t="str">
        <f>IF(COUNTIF(items_clean!$A:$A, D261)&gt;0, "Valid", "Invalid")</f>
        <v>Valid</v>
      </c>
      <c r="I261">
        <f>IF(COUNTIF(items_clean!$A:$A, D261)&gt;0, 1, 0)</f>
        <v>1</v>
      </c>
    </row>
    <row r="262" spans="1:9" x14ac:dyDescent="0.3">
      <c r="A262" s="1">
        <v>261</v>
      </c>
      <c r="B262" s="1" t="s">
        <v>383</v>
      </c>
      <c r="C262" s="4">
        <v>45336.62777777778</v>
      </c>
      <c r="D262" s="1" t="s">
        <v>100</v>
      </c>
      <c r="E262" s="3">
        <v>1</v>
      </c>
      <c r="F262" s="1" t="s">
        <v>145</v>
      </c>
      <c r="G262" s="1" t="s">
        <v>146</v>
      </c>
      <c r="H262" s="1" t="str">
        <f>IF(COUNTIF(items_clean!$A:$A, D262)&gt;0, "Valid", "Invalid")</f>
        <v>Valid</v>
      </c>
      <c r="I262">
        <f>IF(COUNTIF(items_clean!$A:$A, D262)&gt;0, 1, 0)</f>
        <v>1</v>
      </c>
    </row>
    <row r="263" spans="1:9" x14ac:dyDescent="0.3">
      <c r="A263" s="1">
        <v>262</v>
      </c>
      <c r="B263" s="1" t="s">
        <v>384</v>
      </c>
      <c r="C263" s="4">
        <v>45336.640277777777</v>
      </c>
      <c r="D263" s="1" t="s">
        <v>138</v>
      </c>
      <c r="E263" s="3">
        <v>1</v>
      </c>
      <c r="F263" s="1" t="s">
        <v>148</v>
      </c>
      <c r="G263" s="1" t="s">
        <v>149</v>
      </c>
      <c r="H263" s="1" t="str">
        <f>IF(COUNTIF(items_clean!$A:$A, D263)&gt;0, "Valid", "Invalid")</f>
        <v>Valid</v>
      </c>
      <c r="I263">
        <f>IF(COUNTIF(items_clean!$A:$A, D263)&gt;0, 1, 0)</f>
        <v>1</v>
      </c>
    </row>
    <row r="264" spans="1:9" x14ac:dyDescent="0.3">
      <c r="A264" s="1">
        <v>263</v>
      </c>
      <c r="B264" s="1" t="s">
        <v>385</v>
      </c>
      <c r="C264" s="4">
        <v>45336.65347222222</v>
      </c>
      <c r="D264" s="1" t="s">
        <v>128</v>
      </c>
      <c r="E264" s="3">
        <v>1</v>
      </c>
      <c r="F264" s="1" t="s">
        <v>253</v>
      </c>
      <c r="G264" s="1" t="s">
        <v>146</v>
      </c>
      <c r="H264" s="1" t="str">
        <f>IF(COUNTIF(items_clean!$A:$A, D264)&gt;0, "Valid", "Invalid")</f>
        <v>Valid</v>
      </c>
      <c r="I264">
        <f>IF(COUNTIF(items_clean!$A:$A, D264)&gt;0, 1, 0)</f>
        <v>1</v>
      </c>
    </row>
    <row r="265" spans="1:9" x14ac:dyDescent="0.3">
      <c r="A265" s="1">
        <v>264</v>
      </c>
      <c r="B265" s="1" t="s">
        <v>386</v>
      </c>
      <c r="C265" s="4">
        <v>45336.665972222225</v>
      </c>
      <c r="D265" s="1" t="s">
        <v>116</v>
      </c>
      <c r="E265" s="3">
        <v>1</v>
      </c>
      <c r="F265" s="1" t="s">
        <v>157</v>
      </c>
      <c r="G265" s="1" t="s">
        <v>149</v>
      </c>
      <c r="H265" s="1" t="str">
        <f>IF(COUNTIF(items_clean!$A:$A, D265)&gt;0, "Valid", "Invalid")</f>
        <v>Valid</v>
      </c>
      <c r="I265">
        <f>IF(COUNTIF(items_clean!$A:$A, D265)&gt;0, 1, 0)</f>
        <v>1</v>
      </c>
    </row>
    <row r="266" spans="1:9" x14ac:dyDescent="0.3">
      <c r="A266" s="1">
        <v>265</v>
      </c>
      <c r="B266" s="1" t="s">
        <v>387</v>
      </c>
      <c r="C266" s="4">
        <v>45336.678472222222</v>
      </c>
      <c r="D266" s="1" t="s">
        <v>105</v>
      </c>
      <c r="E266" s="3">
        <v>1</v>
      </c>
      <c r="F266" s="1" t="s">
        <v>151</v>
      </c>
      <c r="G266" s="1" t="s">
        <v>146</v>
      </c>
      <c r="H266" s="1" t="str">
        <f>IF(COUNTIF(items_clean!$A:$A, D266)&gt;0, "Valid", "Invalid")</f>
        <v>Valid</v>
      </c>
      <c r="I266">
        <f>IF(COUNTIF(items_clean!$A:$A, D266)&gt;0, 1, 0)</f>
        <v>1</v>
      </c>
    </row>
    <row r="267" spans="1:9" x14ac:dyDescent="0.3">
      <c r="A267" s="1">
        <v>266</v>
      </c>
      <c r="B267" s="1" t="s">
        <v>388</v>
      </c>
      <c r="C267" s="4">
        <v>45336.690972222219</v>
      </c>
      <c r="D267" s="1" t="s">
        <v>126</v>
      </c>
      <c r="E267" s="3">
        <v>1</v>
      </c>
      <c r="F267" s="1" t="s">
        <v>153</v>
      </c>
      <c r="G267" s="1" t="s">
        <v>149</v>
      </c>
      <c r="H267" s="1" t="str">
        <f>IF(COUNTIF(items_clean!$A:$A, D267)&gt;0, "Valid", "Invalid")</f>
        <v>Valid</v>
      </c>
      <c r="I267">
        <f>IF(COUNTIF(items_clean!$A:$A, D267)&gt;0, 1, 0)</f>
        <v>1</v>
      </c>
    </row>
    <row r="268" spans="1:9" x14ac:dyDescent="0.3">
      <c r="A268" s="1">
        <v>267</v>
      </c>
      <c r="B268" s="1" t="s">
        <v>389</v>
      </c>
      <c r="C268" s="4">
        <v>45336.703472222223</v>
      </c>
      <c r="D268" s="1" t="s">
        <v>113</v>
      </c>
      <c r="E268" s="3">
        <v>1</v>
      </c>
      <c r="F268" s="1" t="s">
        <v>155</v>
      </c>
      <c r="G268" s="1" t="s">
        <v>146</v>
      </c>
      <c r="H268" s="1" t="str">
        <f>IF(COUNTIF(items_clean!$A:$A, D268)&gt;0, "Valid", "Invalid")</f>
        <v>Valid</v>
      </c>
      <c r="I268">
        <f>IF(COUNTIF(items_clean!$A:$A, D268)&gt;0, 1, 0)</f>
        <v>1</v>
      </c>
    </row>
    <row r="269" spans="1:9" x14ac:dyDescent="0.3">
      <c r="A269" s="1">
        <v>268</v>
      </c>
      <c r="B269" s="1" t="s">
        <v>390</v>
      </c>
      <c r="C269" s="4">
        <v>45336.708333333336</v>
      </c>
      <c r="D269" s="1" t="s">
        <v>272</v>
      </c>
      <c r="E269" s="3">
        <v>1</v>
      </c>
      <c r="F269" s="1" t="s">
        <v>159</v>
      </c>
      <c r="G269" s="1" t="s">
        <v>149</v>
      </c>
      <c r="H269" s="1" t="str">
        <f>IF(COUNTIF(items_clean!$A:$A, D269)&gt;0, "Valid", "Invalid")</f>
        <v>Invalid</v>
      </c>
      <c r="I269">
        <f>IF(COUNTIF(items_clean!$A:$A, D269)&gt;0, 1, 0)</f>
        <v>0</v>
      </c>
    </row>
    <row r="270" spans="1:9" x14ac:dyDescent="0.3">
      <c r="A270" s="1">
        <v>269</v>
      </c>
      <c r="B270" s="1" t="s">
        <v>391</v>
      </c>
      <c r="C270" s="4">
        <v>45337.293055555558</v>
      </c>
      <c r="D270" s="1" t="s">
        <v>102</v>
      </c>
      <c r="E270" s="3">
        <v>1</v>
      </c>
      <c r="F270" s="1" t="s">
        <v>251</v>
      </c>
      <c r="G270" s="1" t="s">
        <v>146</v>
      </c>
      <c r="H270" s="1" t="str">
        <f>IF(COUNTIF(items_clean!$A:$A, D270)&gt;0, "Valid", "Invalid")</f>
        <v>Valid</v>
      </c>
      <c r="I270">
        <f>IF(COUNTIF(items_clean!$A:$A, D270)&gt;0, 1, 0)</f>
        <v>1</v>
      </c>
    </row>
    <row r="271" spans="1:9" x14ac:dyDescent="0.3">
      <c r="A271" s="1">
        <v>270</v>
      </c>
      <c r="B271" s="1" t="s">
        <v>392</v>
      </c>
      <c r="C271" s="4">
        <v>45337.29791666667</v>
      </c>
      <c r="D271" s="1" t="s">
        <v>126</v>
      </c>
      <c r="E271" s="3">
        <v>1</v>
      </c>
      <c r="F271" s="1" t="s">
        <v>393</v>
      </c>
      <c r="G271" s="1" t="s">
        <v>149</v>
      </c>
      <c r="H271" s="1" t="str">
        <f>IF(COUNTIF(items_clean!$A:$A, D271)&gt;0, "Valid", "Invalid")</f>
        <v>Valid</v>
      </c>
      <c r="I271">
        <f>IF(COUNTIF(items_clean!$A:$A, D271)&gt;0, 1, 0)</f>
        <v>1</v>
      </c>
    </row>
    <row r="272" spans="1:9" x14ac:dyDescent="0.3">
      <c r="A272" s="1">
        <v>271</v>
      </c>
      <c r="B272" s="1" t="s">
        <v>392</v>
      </c>
      <c r="C272" s="4">
        <v>45337.29791666667</v>
      </c>
      <c r="D272" s="1" t="s">
        <v>132</v>
      </c>
      <c r="E272" s="3">
        <v>1</v>
      </c>
      <c r="F272" s="1" t="s">
        <v>393</v>
      </c>
      <c r="G272" s="1" t="s">
        <v>778</v>
      </c>
      <c r="H272" s="1" t="str">
        <f>IF(COUNTIF(items_clean!$A:$A, D272)&gt;0, "Valid", "Invalid")</f>
        <v>Valid</v>
      </c>
      <c r="I272">
        <f>IF(COUNTIF(items_clean!$A:$A, D272)&gt;0, 1, 0)</f>
        <v>1</v>
      </c>
    </row>
    <row r="273" spans="1:9" x14ac:dyDescent="0.3">
      <c r="A273" s="1">
        <v>272</v>
      </c>
      <c r="B273" s="1" t="s">
        <v>394</v>
      </c>
      <c r="C273" s="4">
        <v>45337.302777777775</v>
      </c>
      <c r="D273" s="1" t="s">
        <v>108</v>
      </c>
      <c r="E273" s="3">
        <v>1</v>
      </c>
      <c r="F273" s="1" t="s">
        <v>395</v>
      </c>
      <c r="G273" s="1" t="s">
        <v>146</v>
      </c>
      <c r="H273" s="1" t="str">
        <f>IF(COUNTIF(items_clean!$A:$A, D273)&gt;0, "Valid", "Invalid")</f>
        <v>Valid</v>
      </c>
      <c r="I273">
        <f>IF(COUNTIF(items_clean!$A:$A, D273)&gt;0, 1, 0)</f>
        <v>1</v>
      </c>
    </row>
    <row r="274" spans="1:9" x14ac:dyDescent="0.3">
      <c r="A274" s="1">
        <v>273</v>
      </c>
      <c r="B274" s="1" t="s">
        <v>396</v>
      </c>
      <c r="C274" s="4">
        <v>45337.307638888888</v>
      </c>
      <c r="D274" s="1" t="s">
        <v>254</v>
      </c>
      <c r="E274" s="3">
        <v>1</v>
      </c>
      <c r="F274" s="1" t="s">
        <v>397</v>
      </c>
      <c r="G274" s="1" t="s">
        <v>149</v>
      </c>
      <c r="H274" s="1" t="str">
        <f>IF(COUNTIF(items_clean!$A:$A, D274)&gt;0, "Valid", "Invalid")</f>
        <v>Invalid</v>
      </c>
      <c r="I274">
        <f>IF(COUNTIF(items_clean!$A:$A, D274)&gt;0, 1, 0)</f>
        <v>0</v>
      </c>
    </row>
    <row r="275" spans="1:9" x14ac:dyDescent="0.3">
      <c r="A275" s="1">
        <v>274</v>
      </c>
      <c r="B275" s="1" t="s">
        <v>398</v>
      </c>
      <c r="C275" s="4">
        <v>45337.3125</v>
      </c>
      <c r="D275" s="1" t="s">
        <v>116</v>
      </c>
      <c r="E275" s="3">
        <v>1</v>
      </c>
      <c r="F275" s="1" t="s">
        <v>399</v>
      </c>
      <c r="G275" s="1" t="s">
        <v>146</v>
      </c>
      <c r="H275" s="1" t="str">
        <f>IF(COUNTIF(items_clean!$A:$A, D275)&gt;0, "Valid", "Invalid")</f>
        <v>Valid</v>
      </c>
      <c r="I275">
        <f>IF(COUNTIF(items_clean!$A:$A, D275)&gt;0, 1, 0)</f>
        <v>1</v>
      </c>
    </row>
    <row r="276" spans="1:9" x14ac:dyDescent="0.3">
      <c r="A276" s="1">
        <v>275</v>
      </c>
      <c r="B276" s="1" t="s">
        <v>398</v>
      </c>
      <c r="C276" s="4">
        <v>45337.3125</v>
      </c>
      <c r="D276" s="1" t="s">
        <v>121</v>
      </c>
      <c r="E276" s="3">
        <v>1</v>
      </c>
      <c r="F276" s="1" t="s">
        <v>399</v>
      </c>
      <c r="G276" s="1" t="s">
        <v>778</v>
      </c>
      <c r="H276" s="1" t="str">
        <f>IF(COUNTIF(items_clean!$A:$A, D276)&gt;0, "Valid", "Invalid")</f>
        <v>Valid</v>
      </c>
      <c r="I276">
        <f>IF(COUNTIF(items_clean!$A:$A, D276)&gt;0, 1, 0)</f>
        <v>1</v>
      </c>
    </row>
    <row r="277" spans="1:9" x14ac:dyDescent="0.3">
      <c r="A277" s="1">
        <v>276</v>
      </c>
      <c r="B277" s="1" t="s">
        <v>400</v>
      </c>
      <c r="C277" s="4">
        <v>45337.317361111112</v>
      </c>
      <c r="D277" s="1" t="s">
        <v>96</v>
      </c>
      <c r="E277" s="3">
        <v>1</v>
      </c>
      <c r="F277" s="1" t="s">
        <v>401</v>
      </c>
      <c r="G277" s="1" t="s">
        <v>149</v>
      </c>
      <c r="H277" s="1" t="str">
        <f>IF(COUNTIF(items_clean!$A:$A, D277)&gt;0, "Valid", "Invalid")</f>
        <v>Valid</v>
      </c>
      <c r="I277">
        <f>IF(COUNTIF(items_clean!$A:$A, D277)&gt;0, 1, 0)</f>
        <v>1</v>
      </c>
    </row>
    <row r="278" spans="1:9" x14ac:dyDescent="0.3">
      <c r="A278" s="1">
        <v>277</v>
      </c>
      <c r="B278" s="1" t="s">
        <v>402</v>
      </c>
      <c r="C278" s="4">
        <v>45337.322222222225</v>
      </c>
      <c r="D278" s="1" t="s">
        <v>129</v>
      </c>
      <c r="E278" s="3">
        <v>1</v>
      </c>
      <c r="F278" s="1" t="s">
        <v>403</v>
      </c>
      <c r="G278" s="1" t="s">
        <v>146</v>
      </c>
      <c r="H278" s="1" t="str">
        <f>IF(COUNTIF(items_clean!$A:$A, D278)&gt;0, "Valid", "Invalid")</f>
        <v>Valid</v>
      </c>
      <c r="I278">
        <f>IF(COUNTIF(items_clean!$A:$A, D278)&gt;0, 1, 0)</f>
        <v>1</v>
      </c>
    </row>
    <row r="279" spans="1:9" x14ac:dyDescent="0.3">
      <c r="A279" s="1">
        <v>278</v>
      </c>
      <c r="B279" s="1" t="s">
        <v>404</v>
      </c>
      <c r="C279" s="4">
        <v>45337.327777777777</v>
      </c>
      <c r="D279" s="1" t="s">
        <v>138</v>
      </c>
      <c r="E279" s="3">
        <v>1</v>
      </c>
      <c r="F279" s="1" t="s">
        <v>405</v>
      </c>
      <c r="G279" s="1" t="s">
        <v>149</v>
      </c>
      <c r="H279" s="1" t="str">
        <f>IF(COUNTIF(items_clean!$A:$A, D279)&gt;0, "Valid", "Invalid")</f>
        <v>Valid</v>
      </c>
      <c r="I279">
        <f>IF(COUNTIF(items_clean!$A:$A, D279)&gt;0, 1, 0)</f>
        <v>1</v>
      </c>
    </row>
    <row r="280" spans="1:9" x14ac:dyDescent="0.3">
      <c r="A280" s="1">
        <v>279</v>
      </c>
      <c r="B280" s="1" t="s">
        <v>406</v>
      </c>
      <c r="C280" s="4">
        <v>45337.332638888889</v>
      </c>
      <c r="D280" s="1" t="s">
        <v>105</v>
      </c>
      <c r="E280" s="3">
        <v>1</v>
      </c>
      <c r="F280" s="1" t="s">
        <v>407</v>
      </c>
      <c r="G280" s="1" t="s">
        <v>146</v>
      </c>
      <c r="H280" s="1" t="str">
        <f>IF(COUNTIF(items_clean!$A:$A, D280)&gt;0, "Valid", "Invalid")</f>
        <v>Valid</v>
      </c>
      <c r="I280">
        <f>IF(COUNTIF(items_clean!$A:$A, D280)&gt;0, 1, 0)</f>
        <v>1</v>
      </c>
    </row>
    <row r="281" spans="1:9" x14ac:dyDescent="0.3">
      <c r="A281" s="1">
        <v>280</v>
      </c>
      <c r="B281" s="1" t="s">
        <v>406</v>
      </c>
      <c r="C281" s="4">
        <v>45337.332638888889</v>
      </c>
      <c r="D281" s="1" t="s">
        <v>111</v>
      </c>
      <c r="E281" s="3">
        <v>1</v>
      </c>
      <c r="F281" s="1" t="s">
        <v>407</v>
      </c>
      <c r="G281" s="1" t="s">
        <v>778</v>
      </c>
      <c r="H281" s="1" t="str">
        <f>IF(COUNTIF(items_clean!$A:$A, D281)&gt;0, "Valid", "Invalid")</f>
        <v>Valid</v>
      </c>
      <c r="I281">
        <f>IF(COUNTIF(items_clean!$A:$A, D281)&gt;0, 1, 0)</f>
        <v>1</v>
      </c>
    </row>
    <row r="282" spans="1:9" x14ac:dyDescent="0.3">
      <c r="A282" s="1">
        <v>281</v>
      </c>
      <c r="B282" s="1" t="s">
        <v>408</v>
      </c>
      <c r="C282" s="4">
        <v>45337.337500000001</v>
      </c>
      <c r="D282" s="1" t="s">
        <v>115</v>
      </c>
      <c r="E282" s="3">
        <v>1</v>
      </c>
      <c r="F282" s="1" t="s">
        <v>409</v>
      </c>
      <c r="G282" s="1" t="s">
        <v>149</v>
      </c>
      <c r="H282" s="1" t="str">
        <f>IF(COUNTIF(items_clean!$A:$A, D282)&gt;0, "Valid", "Invalid")</f>
        <v>Valid</v>
      </c>
      <c r="I282">
        <f>IF(COUNTIF(items_clean!$A:$A, D282)&gt;0, 1, 0)</f>
        <v>1</v>
      </c>
    </row>
    <row r="283" spans="1:9" x14ac:dyDescent="0.3">
      <c r="A283" s="1">
        <v>282</v>
      </c>
      <c r="B283" s="1" t="s">
        <v>410</v>
      </c>
      <c r="C283" s="4">
        <v>45337.342361111114</v>
      </c>
      <c r="D283" s="1" t="s">
        <v>119</v>
      </c>
      <c r="E283" s="3">
        <v>1</v>
      </c>
      <c r="F283" s="1" t="s">
        <v>411</v>
      </c>
      <c r="G283" s="1" t="s">
        <v>146</v>
      </c>
      <c r="H283" s="1" t="str">
        <f>IF(COUNTIF(items_clean!$A:$A, D283)&gt;0, "Valid", "Invalid")</f>
        <v>Valid</v>
      </c>
      <c r="I283">
        <f>IF(COUNTIF(items_clean!$A:$A, D283)&gt;0, 1, 0)</f>
        <v>1</v>
      </c>
    </row>
    <row r="284" spans="1:9" x14ac:dyDescent="0.3">
      <c r="A284" s="1">
        <v>283</v>
      </c>
      <c r="B284" s="1" t="s">
        <v>412</v>
      </c>
      <c r="C284" s="4">
        <v>45337.347222222219</v>
      </c>
      <c r="D284" s="1" t="s">
        <v>125</v>
      </c>
      <c r="E284" s="3">
        <v>1</v>
      </c>
      <c r="F284" s="1" t="s">
        <v>413</v>
      </c>
      <c r="G284" s="1" t="s">
        <v>149</v>
      </c>
      <c r="H284" s="1" t="str">
        <f>IF(COUNTIF(items_clean!$A:$A, D284)&gt;0, "Valid", "Invalid")</f>
        <v>Valid</v>
      </c>
      <c r="I284">
        <f>IF(COUNTIF(items_clean!$A:$A, D284)&gt;0, 1, 0)</f>
        <v>1</v>
      </c>
    </row>
    <row r="285" spans="1:9" x14ac:dyDescent="0.3">
      <c r="A285" s="1">
        <v>284</v>
      </c>
      <c r="B285" s="1" t="s">
        <v>412</v>
      </c>
      <c r="C285" s="4">
        <v>45337.347222222219</v>
      </c>
      <c r="D285" s="1" t="s">
        <v>134</v>
      </c>
      <c r="E285" s="3">
        <v>1</v>
      </c>
      <c r="F285" s="1" t="s">
        <v>413</v>
      </c>
      <c r="G285" s="1" t="s">
        <v>778</v>
      </c>
      <c r="H285" s="1" t="str">
        <f>IF(COUNTIF(items_clean!$A:$A, D285)&gt;0, "Valid", "Invalid")</f>
        <v>Valid</v>
      </c>
      <c r="I285">
        <f>IF(COUNTIF(items_clean!$A:$A, D285)&gt;0, 1, 0)</f>
        <v>1</v>
      </c>
    </row>
    <row r="286" spans="1:9" x14ac:dyDescent="0.3">
      <c r="A286" s="1">
        <v>285</v>
      </c>
      <c r="B286" s="1" t="s">
        <v>414</v>
      </c>
      <c r="C286" s="4">
        <v>45337.352083333331</v>
      </c>
      <c r="D286" s="1" t="s">
        <v>278</v>
      </c>
      <c r="E286" s="3">
        <v>1</v>
      </c>
      <c r="F286" s="1" t="s">
        <v>415</v>
      </c>
      <c r="G286" s="1" t="s">
        <v>146</v>
      </c>
      <c r="H286" s="1" t="str">
        <f>IF(COUNTIF(items_clean!$A:$A, D286)&gt;0, "Valid", "Invalid")</f>
        <v>Invalid</v>
      </c>
      <c r="I286">
        <f>IF(COUNTIF(items_clean!$A:$A, D286)&gt;0, 1, 0)</f>
        <v>0</v>
      </c>
    </row>
    <row r="287" spans="1:9" x14ac:dyDescent="0.3">
      <c r="A287" s="1">
        <v>286</v>
      </c>
      <c r="B287" s="1" t="s">
        <v>416</v>
      </c>
      <c r="C287" s="4">
        <v>45337.356944444444</v>
      </c>
      <c r="D287" s="1" t="s">
        <v>110</v>
      </c>
      <c r="E287" s="3">
        <v>1</v>
      </c>
      <c r="F287" s="1" t="s">
        <v>417</v>
      </c>
      <c r="G287" s="1" t="s">
        <v>149</v>
      </c>
      <c r="H287" s="1" t="str">
        <f>IF(COUNTIF(items_clean!$A:$A, D287)&gt;0, "Valid", "Invalid")</f>
        <v>Valid</v>
      </c>
      <c r="I287">
        <f>IF(COUNTIF(items_clean!$A:$A, D287)&gt;0, 1, 0)</f>
        <v>1</v>
      </c>
    </row>
    <row r="288" spans="1:9" x14ac:dyDescent="0.3">
      <c r="A288" s="1">
        <v>287</v>
      </c>
      <c r="B288" s="1" t="s">
        <v>418</v>
      </c>
      <c r="C288" s="4">
        <v>45337.361805555556</v>
      </c>
      <c r="D288" s="1" t="s">
        <v>128</v>
      </c>
      <c r="E288" s="3">
        <v>1</v>
      </c>
      <c r="F288" s="1" t="s">
        <v>419</v>
      </c>
      <c r="G288" s="1" t="s">
        <v>146</v>
      </c>
      <c r="H288" s="1" t="str">
        <f>IF(COUNTIF(items_clean!$A:$A, D288)&gt;0, "Valid", "Invalid")</f>
        <v>Valid</v>
      </c>
      <c r="I288">
        <f>IF(COUNTIF(items_clean!$A:$A, D288)&gt;0, 1, 0)</f>
        <v>1</v>
      </c>
    </row>
    <row r="289" spans="1:9" x14ac:dyDescent="0.3">
      <c r="A289" s="1">
        <v>288</v>
      </c>
      <c r="B289" s="1" t="s">
        <v>420</v>
      </c>
      <c r="C289" s="4">
        <v>45337.366666666669</v>
      </c>
      <c r="D289" s="1" t="s">
        <v>104</v>
      </c>
      <c r="E289" s="3">
        <v>1</v>
      </c>
      <c r="F289" s="1" t="s">
        <v>421</v>
      </c>
      <c r="G289" s="1" t="s">
        <v>149</v>
      </c>
      <c r="H289" s="1" t="str">
        <f>IF(COUNTIF(items_clean!$A:$A, D289)&gt;0, "Valid", "Invalid")</f>
        <v>Valid</v>
      </c>
      <c r="I289">
        <f>IF(COUNTIF(items_clean!$A:$A, D289)&gt;0, 1, 0)</f>
        <v>1</v>
      </c>
    </row>
    <row r="290" spans="1:9" x14ac:dyDescent="0.3">
      <c r="A290" s="1">
        <v>289</v>
      </c>
      <c r="B290" s="1" t="s">
        <v>420</v>
      </c>
      <c r="C290" s="4">
        <v>45337.366666666669</v>
      </c>
      <c r="D290" s="1" t="s">
        <v>265</v>
      </c>
      <c r="E290" s="3">
        <v>1</v>
      </c>
      <c r="F290" s="1" t="s">
        <v>421</v>
      </c>
      <c r="G290" s="1" t="s">
        <v>778</v>
      </c>
      <c r="H290" s="1" t="str">
        <f>IF(COUNTIF(items_clean!$A:$A, D290)&gt;0, "Valid", "Invalid")</f>
        <v>Invalid</v>
      </c>
      <c r="I290">
        <f>IF(COUNTIF(items_clean!$A:$A, D290)&gt;0, 1, 0)</f>
        <v>0</v>
      </c>
    </row>
    <row r="291" spans="1:9" x14ac:dyDescent="0.3">
      <c r="A291" s="1">
        <v>290</v>
      </c>
      <c r="B291" s="1" t="s">
        <v>422</v>
      </c>
      <c r="C291" s="4">
        <v>45337.37222222222</v>
      </c>
      <c r="D291" s="1" t="s">
        <v>113</v>
      </c>
      <c r="E291" s="3">
        <v>1</v>
      </c>
      <c r="F291" s="1" t="s">
        <v>163</v>
      </c>
      <c r="G291" s="1" t="s">
        <v>146</v>
      </c>
      <c r="H291" s="1" t="str">
        <f>IF(COUNTIF(items_clean!$A:$A, D291)&gt;0, "Valid", "Invalid")</f>
        <v>Valid</v>
      </c>
      <c r="I291">
        <f>IF(COUNTIF(items_clean!$A:$A, D291)&gt;0, 1, 0)</f>
        <v>1</v>
      </c>
    </row>
    <row r="292" spans="1:9" x14ac:dyDescent="0.3">
      <c r="A292" s="1">
        <v>291</v>
      </c>
      <c r="B292" s="1" t="s">
        <v>423</v>
      </c>
      <c r="C292" s="4">
        <v>45337.377083333333</v>
      </c>
      <c r="D292" s="1" t="s">
        <v>100</v>
      </c>
      <c r="E292" s="3">
        <v>1</v>
      </c>
      <c r="F292" s="1" t="s">
        <v>424</v>
      </c>
      <c r="G292" s="1" t="s">
        <v>149</v>
      </c>
      <c r="H292" s="1" t="str">
        <f>IF(COUNTIF(items_clean!$A:$A, D292)&gt;0, "Valid", "Invalid")</f>
        <v>Valid</v>
      </c>
      <c r="I292">
        <f>IF(COUNTIF(items_clean!$A:$A, D292)&gt;0, 1, 0)</f>
        <v>1</v>
      </c>
    </row>
    <row r="293" spans="1:9" x14ac:dyDescent="0.3">
      <c r="A293" s="1">
        <v>292</v>
      </c>
      <c r="B293" s="1" t="s">
        <v>425</v>
      </c>
      <c r="C293" s="4">
        <v>45337.381944444445</v>
      </c>
      <c r="D293" s="1" t="s">
        <v>131</v>
      </c>
      <c r="E293" s="3">
        <v>1</v>
      </c>
      <c r="F293" s="1" t="s">
        <v>426</v>
      </c>
      <c r="G293" s="1" t="s">
        <v>146</v>
      </c>
      <c r="H293" s="1" t="str">
        <f>IF(COUNTIF(items_clean!$A:$A, D293)&gt;0, "Valid", "Invalid")</f>
        <v>Valid</v>
      </c>
      <c r="I293">
        <f>IF(COUNTIF(items_clean!$A:$A, D293)&gt;0, 1, 0)</f>
        <v>1</v>
      </c>
    </row>
    <row r="294" spans="1:9" x14ac:dyDescent="0.3">
      <c r="A294" s="1">
        <v>293</v>
      </c>
      <c r="B294" s="1" t="s">
        <v>427</v>
      </c>
      <c r="C294" s="4">
        <v>45337.386805555558</v>
      </c>
      <c r="D294" s="1" t="s">
        <v>118</v>
      </c>
      <c r="E294" s="3">
        <v>1</v>
      </c>
      <c r="F294" s="1" t="s">
        <v>428</v>
      </c>
      <c r="G294" s="1" t="s">
        <v>149</v>
      </c>
      <c r="H294" s="1" t="str">
        <f>IF(COUNTIF(items_clean!$A:$A, D294)&gt;0, "Valid", "Invalid")</f>
        <v>Valid</v>
      </c>
      <c r="I294">
        <f>IF(COUNTIF(items_clean!$A:$A, D294)&gt;0, 1, 0)</f>
        <v>1</v>
      </c>
    </row>
    <row r="295" spans="1:9" x14ac:dyDescent="0.3">
      <c r="A295" s="1">
        <v>294</v>
      </c>
      <c r="B295" s="1" t="s">
        <v>429</v>
      </c>
      <c r="C295" s="4">
        <v>45337.39166666667</v>
      </c>
      <c r="D295" s="1" t="s">
        <v>122</v>
      </c>
      <c r="E295" s="3">
        <v>1</v>
      </c>
      <c r="F295" s="1" t="s">
        <v>430</v>
      </c>
      <c r="G295" s="1" t="s">
        <v>146</v>
      </c>
      <c r="H295" s="1" t="str">
        <f>IF(COUNTIF(items_clean!$A:$A, D295)&gt;0, "Valid", "Invalid")</f>
        <v>Valid</v>
      </c>
      <c r="I295">
        <f>IF(COUNTIF(items_clean!$A:$A, D295)&gt;0, 1, 0)</f>
        <v>1</v>
      </c>
    </row>
    <row r="296" spans="1:9" x14ac:dyDescent="0.3">
      <c r="A296" s="1">
        <v>295</v>
      </c>
      <c r="B296" s="1" t="s">
        <v>429</v>
      </c>
      <c r="C296" s="4">
        <v>45337.39166666667</v>
      </c>
      <c r="D296" s="1" t="s">
        <v>272</v>
      </c>
      <c r="E296" s="3">
        <v>1</v>
      </c>
      <c r="F296" s="1" t="s">
        <v>430</v>
      </c>
      <c r="G296" s="1" t="s">
        <v>778</v>
      </c>
      <c r="H296" s="1" t="str">
        <f>IF(COUNTIF(items_clean!$A:$A, D296)&gt;0, "Valid", "Invalid")</f>
        <v>Invalid</v>
      </c>
      <c r="I296">
        <f>IF(COUNTIF(items_clean!$A:$A, D296)&gt;0, 1, 0)</f>
        <v>0</v>
      </c>
    </row>
    <row r="297" spans="1:9" x14ac:dyDescent="0.3">
      <c r="A297" s="1">
        <v>296</v>
      </c>
      <c r="B297" s="1" t="s">
        <v>431</v>
      </c>
      <c r="C297" s="4">
        <v>45337.396527777775</v>
      </c>
      <c r="D297" s="1" t="s">
        <v>135</v>
      </c>
      <c r="E297" s="3">
        <v>1</v>
      </c>
      <c r="F297" s="1" t="s">
        <v>432</v>
      </c>
      <c r="G297" s="1" t="s">
        <v>149</v>
      </c>
      <c r="H297" s="1" t="str">
        <f>IF(COUNTIF(items_clean!$A:$A, D297)&gt;0, "Valid", "Invalid")</f>
        <v>Valid</v>
      </c>
      <c r="I297">
        <f>IF(COUNTIF(items_clean!$A:$A, D297)&gt;0, 1, 0)</f>
        <v>1</v>
      </c>
    </row>
    <row r="298" spans="1:9" x14ac:dyDescent="0.3">
      <c r="A298" s="1">
        <v>297</v>
      </c>
      <c r="B298" s="1" t="s">
        <v>433</v>
      </c>
      <c r="C298" s="4">
        <v>45337.401388888888</v>
      </c>
      <c r="D298" s="1" t="s">
        <v>111</v>
      </c>
      <c r="E298" s="3">
        <v>1</v>
      </c>
      <c r="F298" s="1" t="s">
        <v>434</v>
      </c>
      <c r="G298" s="1" t="s">
        <v>146</v>
      </c>
      <c r="H298" s="1" t="str">
        <f>IF(COUNTIF(items_clean!$A:$A, D298)&gt;0, "Valid", "Invalid")</f>
        <v>Valid</v>
      </c>
      <c r="I298">
        <f>IF(COUNTIF(items_clean!$A:$A, D298)&gt;0, 1, 0)</f>
        <v>1</v>
      </c>
    </row>
    <row r="299" spans="1:9" x14ac:dyDescent="0.3">
      <c r="A299" s="1">
        <v>298</v>
      </c>
      <c r="B299" s="1" t="s">
        <v>435</v>
      </c>
      <c r="C299" s="4">
        <v>45337.408333333333</v>
      </c>
      <c r="D299" s="1" t="s">
        <v>118</v>
      </c>
      <c r="E299" s="3">
        <v>1</v>
      </c>
      <c r="F299" s="1" t="s">
        <v>436</v>
      </c>
      <c r="G299" s="1" t="s">
        <v>149</v>
      </c>
      <c r="H299" s="1" t="str">
        <f>IF(COUNTIF(items_clean!$A:$A, D299)&gt;0, "Valid", "Invalid")</f>
        <v>Valid</v>
      </c>
      <c r="I299">
        <f>IF(COUNTIF(items_clean!$A:$A, D299)&gt;0, 1, 0)</f>
        <v>1</v>
      </c>
    </row>
    <row r="300" spans="1:9" x14ac:dyDescent="0.3">
      <c r="A300" s="1">
        <v>299</v>
      </c>
      <c r="B300" s="1" t="s">
        <v>437</v>
      </c>
      <c r="C300" s="4">
        <v>45337.419444444444</v>
      </c>
      <c r="D300" s="1" t="s">
        <v>132</v>
      </c>
      <c r="E300" s="3">
        <v>1</v>
      </c>
      <c r="F300" s="1" t="s">
        <v>393</v>
      </c>
      <c r="G300" s="1" t="s">
        <v>146</v>
      </c>
      <c r="H300" s="1" t="str">
        <f>IF(COUNTIF(items_clean!$A:$A, D300)&gt;0, "Valid", "Invalid")</f>
        <v>Valid</v>
      </c>
      <c r="I300">
        <f>IF(COUNTIF(items_clean!$A:$A, D300)&gt;0, 1, 0)</f>
        <v>1</v>
      </c>
    </row>
    <row r="301" spans="1:9" x14ac:dyDescent="0.3">
      <c r="A301" s="1">
        <v>300</v>
      </c>
      <c r="B301" s="1" t="s">
        <v>438</v>
      </c>
      <c r="C301" s="4">
        <v>45337.430555555555</v>
      </c>
      <c r="D301" s="1" t="s">
        <v>104</v>
      </c>
      <c r="E301" s="3">
        <v>1</v>
      </c>
      <c r="F301" s="1" t="s">
        <v>171</v>
      </c>
      <c r="G301" s="1" t="s">
        <v>149</v>
      </c>
      <c r="H301" s="1" t="str">
        <f>IF(COUNTIF(items_clean!$A:$A, D301)&gt;0, "Valid", "Invalid")</f>
        <v>Valid</v>
      </c>
      <c r="I301">
        <f>IF(COUNTIF(items_clean!$A:$A, D301)&gt;0, 1, 0)</f>
        <v>1</v>
      </c>
    </row>
    <row r="302" spans="1:9" x14ac:dyDescent="0.3">
      <c r="A302" s="1">
        <v>301</v>
      </c>
      <c r="B302" s="1" t="s">
        <v>439</v>
      </c>
      <c r="C302" s="4">
        <v>45337.441666666666</v>
      </c>
      <c r="D302" s="1" t="s">
        <v>265</v>
      </c>
      <c r="E302" s="3">
        <v>1</v>
      </c>
      <c r="F302" s="1" t="s">
        <v>440</v>
      </c>
      <c r="G302" s="1" t="s">
        <v>146</v>
      </c>
      <c r="H302" s="1" t="str">
        <f>IF(COUNTIF(items_clean!$A:$A, D302)&gt;0, "Valid", "Invalid")</f>
        <v>Invalid</v>
      </c>
      <c r="I302">
        <f>IF(COUNTIF(items_clean!$A:$A, D302)&gt;0, 1, 0)</f>
        <v>0</v>
      </c>
    </row>
    <row r="303" spans="1:9" x14ac:dyDescent="0.3">
      <c r="A303" s="1">
        <v>302</v>
      </c>
      <c r="B303" s="1" t="s">
        <v>441</v>
      </c>
      <c r="C303" s="4">
        <v>45337.452777777777</v>
      </c>
      <c r="D303" s="1" t="s">
        <v>113</v>
      </c>
      <c r="E303" s="3">
        <v>1</v>
      </c>
      <c r="F303" s="1" t="s">
        <v>442</v>
      </c>
      <c r="G303" s="1" t="s">
        <v>149</v>
      </c>
      <c r="H303" s="1" t="str">
        <f>IF(COUNTIF(items_clean!$A:$A, D303)&gt;0, "Valid", "Invalid")</f>
        <v>Valid</v>
      </c>
      <c r="I303">
        <f>IF(COUNTIF(items_clean!$A:$A, D303)&gt;0, 1, 0)</f>
        <v>1</v>
      </c>
    </row>
    <row r="304" spans="1:9" x14ac:dyDescent="0.3">
      <c r="A304" s="1">
        <v>303</v>
      </c>
      <c r="B304" s="1" t="s">
        <v>443</v>
      </c>
      <c r="C304" s="4">
        <v>45337.463888888888</v>
      </c>
      <c r="D304" s="1" t="s">
        <v>128</v>
      </c>
      <c r="E304" s="3">
        <v>1</v>
      </c>
      <c r="F304" s="1" t="s">
        <v>444</v>
      </c>
      <c r="G304" s="1" t="s">
        <v>146</v>
      </c>
      <c r="H304" s="1" t="str">
        <f>IF(COUNTIF(items_clean!$A:$A, D304)&gt;0, "Valid", "Invalid")</f>
        <v>Valid</v>
      </c>
      <c r="I304">
        <f>IF(COUNTIF(items_clean!$A:$A, D304)&gt;0, 1, 0)</f>
        <v>1</v>
      </c>
    </row>
    <row r="305" spans="1:9" x14ac:dyDescent="0.3">
      <c r="A305" s="1">
        <v>304</v>
      </c>
      <c r="B305" s="1" t="s">
        <v>443</v>
      </c>
      <c r="C305" s="4">
        <v>45337.463888888888</v>
      </c>
      <c r="D305" s="1" t="s">
        <v>134</v>
      </c>
      <c r="E305" s="3">
        <v>1</v>
      </c>
      <c r="F305" s="1" t="s">
        <v>444</v>
      </c>
      <c r="G305" s="1" t="s">
        <v>778</v>
      </c>
      <c r="H305" s="1" t="str">
        <f>IF(COUNTIF(items_clean!$A:$A, D305)&gt;0, "Valid", "Invalid")</f>
        <v>Valid</v>
      </c>
      <c r="I305">
        <f>IF(COUNTIF(items_clean!$A:$A, D305)&gt;0, 1, 0)</f>
        <v>1</v>
      </c>
    </row>
    <row r="306" spans="1:9" x14ac:dyDescent="0.3">
      <c r="A306" s="1">
        <v>305</v>
      </c>
      <c r="B306" s="1" t="s">
        <v>445</v>
      </c>
      <c r="C306" s="4">
        <v>45337.474999999999</v>
      </c>
      <c r="D306" s="1" t="s">
        <v>108</v>
      </c>
      <c r="E306" s="3">
        <v>1</v>
      </c>
      <c r="F306" s="1" t="s">
        <v>446</v>
      </c>
      <c r="G306" s="1" t="s">
        <v>149</v>
      </c>
      <c r="H306" s="1" t="str">
        <f>IF(COUNTIF(items_clean!$A:$A, D306)&gt;0, "Valid", "Invalid")</f>
        <v>Valid</v>
      </c>
      <c r="I306">
        <f>IF(COUNTIF(items_clean!$A:$A, D306)&gt;0, 1, 0)</f>
        <v>1</v>
      </c>
    </row>
    <row r="307" spans="1:9" x14ac:dyDescent="0.3">
      <c r="A307" s="1">
        <v>306</v>
      </c>
      <c r="B307" s="1" t="s">
        <v>447</v>
      </c>
      <c r="C307" s="4">
        <v>45337.486111111109</v>
      </c>
      <c r="D307" s="1" t="s">
        <v>125</v>
      </c>
      <c r="E307" s="3">
        <v>1</v>
      </c>
      <c r="F307" s="1" t="s">
        <v>448</v>
      </c>
      <c r="G307" s="1" t="s">
        <v>146</v>
      </c>
      <c r="H307" s="1" t="str">
        <f>IF(COUNTIF(items_clean!$A:$A, D307)&gt;0, "Valid", "Invalid")</f>
        <v>Valid</v>
      </c>
      <c r="I307">
        <f>IF(COUNTIF(items_clean!$A:$A, D307)&gt;0, 1, 0)</f>
        <v>1</v>
      </c>
    </row>
    <row r="308" spans="1:9" x14ac:dyDescent="0.3">
      <c r="A308" s="1">
        <v>307</v>
      </c>
      <c r="B308" s="1" t="s">
        <v>449</v>
      </c>
      <c r="C308" s="4">
        <v>45337.49722222222</v>
      </c>
      <c r="D308" s="1" t="s">
        <v>96</v>
      </c>
      <c r="E308" s="3">
        <v>1</v>
      </c>
      <c r="F308" s="1" t="s">
        <v>407</v>
      </c>
      <c r="G308" s="1" t="s">
        <v>149</v>
      </c>
      <c r="H308" s="1" t="str">
        <f>IF(COUNTIF(items_clean!$A:$A, D308)&gt;0, "Valid", "Invalid")</f>
        <v>Valid</v>
      </c>
      <c r="I308">
        <f>IF(COUNTIF(items_clean!$A:$A, D308)&gt;0, 1, 0)</f>
        <v>1</v>
      </c>
    </row>
    <row r="309" spans="1:9" x14ac:dyDescent="0.3">
      <c r="A309" s="1">
        <v>308</v>
      </c>
      <c r="B309" s="1" t="s">
        <v>450</v>
      </c>
      <c r="C309" s="4">
        <v>45337.504166666666</v>
      </c>
      <c r="D309" s="1" t="s">
        <v>110</v>
      </c>
      <c r="E309" s="3">
        <v>1</v>
      </c>
      <c r="F309" s="1" t="s">
        <v>451</v>
      </c>
      <c r="G309" s="1" t="s">
        <v>146</v>
      </c>
      <c r="H309" s="1" t="str">
        <f>IF(COUNTIF(items_clean!$A:$A, D309)&gt;0, "Valid", "Invalid")</f>
        <v>Valid</v>
      </c>
      <c r="I309">
        <f>IF(COUNTIF(items_clean!$A:$A, D309)&gt;0, 1, 0)</f>
        <v>1</v>
      </c>
    </row>
    <row r="310" spans="1:9" x14ac:dyDescent="0.3">
      <c r="A310" s="1">
        <v>309</v>
      </c>
      <c r="B310" s="1" t="s">
        <v>452</v>
      </c>
      <c r="C310" s="4">
        <v>45337.508333333331</v>
      </c>
      <c r="D310" s="1" t="s">
        <v>129</v>
      </c>
      <c r="E310" s="3">
        <v>1</v>
      </c>
      <c r="F310" s="1" t="s">
        <v>453</v>
      </c>
      <c r="G310" s="1" t="s">
        <v>149</v>
      </c>
      <c r="H310" s="1" t="str">
        <f>IF(COUNTIF(items_clean!$A:$A, D310)&gt;0, "Valid", "Invalid")</f>
        <v>Valid</v>
      </c>
      <c r="I310">
        <f>IF(COUNTIF(items_clean!$A:$A, D310)&gt;0, 1, 0)</f>
        <v>1</v>
      </c>
    </row>
    <row r="311" spans="1:9" x14ac:dyDescent="0.3">
      <c r="A311" s="1">
        <v>310</v>
      </c>
      <c r="B311" s="1" t="s">
        <v>452</v>
      </c>
      <c r="C311" s="4">
        <v>45337.508333333331</v>
      </c>
      <c r="D311" s="1" t="s">
        <v>135</v>
      </c>
      <c r="E311" s="3">
        <v>1</v>
      </c>
      <c r="F311" s="1" t="s">
        <v>453</v>
      </c>
      <c r="G311" s="1" t="s">
        <v>778</v>
      </c>
      <c r="H311" s="1" t="str">
        <f>IF(COUNTIF(items_clean!$A:$A, D311)&gt;0, "Valid", "Invalid")</f>
        <v>Valid</v>
      </c>
      <c r="I311">
        <f>IF(COUNTIF(items_clean!$A:$A, D311)&gt;0, 1, 0)</f>
        <v>1</v>
      </c>
    </row>
    <row r="312" spans="1:9" x14ac:dyDescent="0.3">
      <c r="A312" s="1">
        <v>311</v>
      </c>
      <c r="B312" s="1" t="s">
        <v>454</v>
      </c>
      <c r="C312" s="4">
        <v>45337.512499999997</v>
      </c>
      <c r="D312" s="1" t="s">
        <v>100</v>
      </c>
      <c r="E312" s="3">
        <v>1</v>
      </c>
      <c r="F312" s="1" t="s">
        <v>455</v>
      </c>
      <c r="G312" s="1" t="s">
        <v>146</v>
      </c>
      <c r="H312" s="1" t="str">
        <f>IF(COUNTIF(items_clean!$A:$A, D312)&gt;0, "Valid", "Invalid")</f>
        <v>Valid</v>
      </c>
      <c r="I312">
        <f>IF(COUNTIF(items_clean!$A:$A, D312)&gt;0, 1, 0)</f>
        <v>1</v>
      </c>
    </row>
    <row r="313" spans="1:9" x14ac:dyDescent="0.3">
      <c r="A313" s="1">
        <v>312</v>
      </c>
      <c r="B313" s="1" t="s">
        <v>456</v>
      </c>
      <c r="C313" s="4">
        <v>45337.51666666667</v>
      </c>
      <c r="D313" s="1" t="s">
        <v>122</v>
      </c>
      <c r="E313" s="3">
        <v>1</v>
      </c>
      <c r="F313" s="1" t="s">
        <v>457</v>
      </c>
      <c r="G313" s="1" t="s">
        <v>149</v>
      </c>
      <c r="H313" s="1" t="str">
        <f>IF(COUNTIF(items_clean!$A:$A, D313)&gt;0, "Valid", "Invalid")</f>
        <v>Valid</v>
      </c>
      <c r="I313">
        <f>IF(COUNTIF(items_clean!$A:$A, D313)&gt;0, 1, 0)</f>
        <v>1</v>
      </c>
    </row>
    <row r="314" spans="1:9" x14ac:dyDescent="0.3">
      <c r="A314" s="1">
        <v>313</v>
      </c>
      <c r="B314" s="1" t="s">
        <v>458</v>
      </c>
      <c r="C314" s="4">
        <v>45337.520833333336</v>
      </c>
      <c r="D314" s="1" t="s">
        <v>115</v>
      </c>
      <c r="E314" s="3">
        <v>1</v>
      </c>
      <c r="F314" s="1" t="s">
        <v>459</v>
      </c>
      <c r="G314" s="1" t="s">
        <v>146</v>
      </c>
      <c r="H314" s="1" t="str">
        <f>IF(COUNTIF(items_clean!$A:$A, D314)&gt;0, "Valid", "Invalid")</f>
        <v>Valid</v>
      </c>
      <c r="I314">
        <f>IF(COUNTIF(items_clean!$A:$A, D314)&gt;0, 1, 0)</f>
        <v>1</v>
      </c>
    </row>
    <row r="315" spans="1:9" x14ac:dyDescent="0.3">
      <c r="A315" s="1">
        <v>314</v>
      </c>
      <c r="B315" s="1" t="s">
        <v>460</v>
      </c>
      <c r="C315" s="4">
        <v>45337.525000000001</v>
      </c>
      <c r="D315" s="1" t="s">
        <v>272</v>
      </c>
      <c r="E315" s="3">
        <v>1</v>
      </c>
      <c r="F315" s="1" t="s">
        <v>461</v>
      </c>
      <c r="G315" s="1" t="s">
        <v>149</v>
      </c>
      <c r="H315" s="1" t="str">
        <f>IF(COUNTIF(items_clean!$A:$A, D315)&gt;0, "Valid", "Invalid")</f>
        <v>Invalid</v>
      </c>
      <c r="I315">
        <f>IF(COUNTIF(items_clean!$A:$A, D315)&gt;0, 1, 0)</f>
        <v>0</v>
      </c>
    </row>
    <row r="316" spans="1:9" x14ac:dyDescent="0.3">
      <c r="A316" s="1">
        <v>315</v>
      </c>
      <c r="B316" s="1" t="s">
        <v>462</v>
      </c>
      <c r="C316" s="4">
        <v>45337.529166666667</v>
      </c>
      <c r="D316" s="1" t="s">
        <v>105</v>
      </c>
      <c r="E316" s="3">
        <v>1</v>
      </c>
      <c r="F316" s="1" t="s">
        <v>463</v>
      </c>
      <c r="G316" s="1" t="s">
        <v>146</v>
      </c>
      <c r="H316" s="1" t="str">
        <f>IF(COUNTIF(items_clean!$A:$A, D316)&gt;0, "Valid", "Invalid")</f>
        <v>Valid</v>
      </c>
      <c r="I316">
        <f>IF(COUNTIF(items_clean!$A:$A, D316)&gt;0, 1, 0)</f>
        <v>1</v>
      </c>
    </row>
    <row r="317" spans="1:9" x14ac:dyDescent="0.3">
      <c r="A317" s="1">
        <v>316</v>
      </c>
      <c r="B317" s="1" t="s">
        <v>464</v>
      </c>
      <c r="C317" s="4">
        <v>45337.533333333333</v>
      </c>
      <c r="D317" s="1" t="s">
        <v>119</v>
      </c>
      <c r="E317" s="3">
        <v>1</v>
      </c>
      <c r="F317" s="1" t="s">
        <v>163</v>
      </c>
      <c r="G317" s="1" t="s">
        <v>149</v>
      </c>
      <c r="H317" s="1" t="str">
        <f>IF(COUNTIF(items_clean!$A:$A, D317)&gt;0, "Valid", "Invalid")</f>
        <v>Valid</v>
      </c>
      <c r="I317">
        <f>IF(COUNTIF(items_clean!$A:$A, D317)&gt;0, 1, 0)</f>
        <v>1</v>
      </c>
    </row>
    <row r="318" spans="1:9" x14ac:dyDescent="0.3">
      <c r="A318" s="1">
        <v>317</v>
      </c>
      <c r="B318" s="1" t="s">
        <v>465</v>
      </c>
      <c r="C318" s="4">
        <v>45337.537499999999</v>
      </c>
      <c r="D318" s="1" t="s">
        <v>131</v>
      </c>
      <c r="E318" s="3">
        <v>1</v>
      </c>
      <c r="F318" s="1" t="s">
        <v>159</v>
      </c>
      <c r="G318" s="1" t="s">
        <v>146</v>
      </c>
      <c r="H318" s="1" t="str">
        <f>IF(COUNTIF(items_clean!$A:$A, D318)&gt;0, "Valid", "Invalid")</f>
        <v>Valid</v>
      </c>
      <c r="I318">
        <f>IF(COUNTIF(items_clean!$A:$A, D318)&gt;0, 1, 0)</f>
        <v>1</v>
      </c>
    </row>
    <row r="319" spans="1:9" x14ac:dyDescent="0.3">
      <c r="A319" s="1">
        <v>318</v>
      </c>
      <c r="B319" s="1" t="s">
        <v>465</v>
      </c>
      <c r="C319" s="4">
        <v>45337.537499999999</v>
      </c>
      <c r="D319" s="1" t="s">
        <v>111</v>
      </c>
      <c r="E319" s="3">
        <v>1</v>
      </c>
      <c r="F319" s="1" t="s">
        <v>159</v>
      </c>
      <c r="G319" s="1" t="s">
        <v>778</v>
      </c>
      <c r="H319" s="1" t="str">
        <f>IF(COUNTIF(items_clean!$A:$A, D319)&gt;0, "Valid", "Invalid")</f>
        <v>Valid</v>
      </c>
      <c r="I319">
        <f>IF(COUNTIF(items_clean!$A:$A, D319)&gt;0, 1, 0)</f>
        <v>1</v>
      </c>
    </row>
    <row r="320" spans="1:9" x14ac:dyDescent="0.3">
      <c r="A320" s="1">
        <v>319</v>
      </c>
      <c r="B320" s="1" t="s">
        <v>466</v>
      </c>
      <c r="C320" s="4">
        <v>45337.541666666664</v>
      </c>
      <c r="D320" s="1" t="s">
        <v>138</v>
      </c>
      <c r="E320" s="3">
        <v>1</v>
      </c>
      <c r="F320" s="1" t="s">
        <v>249</v>
      </c>
      <c r="G320" s="1" t="s">
        <v>149</v>
      </c>
      <c r="H320" s="1" t="str">
        <f>IF(COUNTIF(items_clean!$A:$A, D320)&gt;0, "Valid", "Invalid")</f>
        <v>Valid</v>
      </c>
      <c r="I320">
        <f>IF(COUNTIF(items_clean!$A:$A, D320)&gt;0, 1, 0)</f>
        <v>1</v>
      </c>
    </row>
    <row r="321" spans="1:9" x14ac:dyDescent="0.3">
      <c r="A321" s="1">
        <v>320</v>
      </c>
      <c r="B321" s="1" t="s">
        <v>467</v>
      </c>
      <c r="C321" s="4">
        <v>45337.54583333333</v>
      </c>
      <c r="D321" s="1" t="s">
        <v>116</v>
      </c>
      <c r="E321" s="3">
        <v>1</v>
      </c>
      <c r="F321" s="1" t="s">
        <v>428</v>
      </c>
      <c r="G321" s="1" t="s">
        <v>146</v>
      </c>
      <c r="H321" s="1" t="str">
        <f>IF(COUNTIF(items_clean!$A:$A, D321)&gt;0, "Valid", "Invalid")</f>
        <v>Valid</v>
      </c>
      <c r="I321">
        <f>IF(COUNTIF(items_clean!$A:$A, D321)&gt;0, 1, 0)</f>
        <v>1</v>
      </c>
    </row>
    <row r="322" spans="1:9" x14ac:dyDescent="0.3">
      <c r="A322" s="1">
        <v>321</v>
      </c>
      <c r="B322" s="1" t="s">
        <v>468</v>
      </c>
      <c r="C322" s="4">
        <v>45337.55</v>
      </c>
      <c r="D322" s="1" t="s">
        <v>126</v>
      </c>
      <c r="E322" s="3">
        <v>1</v>
      </c>
      <c r="F322" s="1" t="s">
        <v>430</v>
      </c>
      <c r="G322" s="1" t="s">
        <v>149</v>
      </c>
      <c r="H322" s="1" t="str">
        <f>IF(COUNTIF(items_clean!$A:$A, D322)&gt;0, "Valid", "Invalid")</f>
        <v>Valid</v>
      </c>
      <c r="I322">
        <f>IF(COUNTIF(items_clean!$A:$A, D322)&gt;0, 1, 0)</f>
        <v>1</v>
      </c>
    </row>
    <row r="323" spans="1:9" x14ac:dyDescent="0.3">
      <c r="A323" s="1">
        <v>322</v>
      </c>
      <c r="B323" s="1" t="s">
        <v>469</v>
      </c>
      <c r="C323" s="4">
        <v>45337.554166666669</v>
      </c>
      <c r="D323" s="1" t="s">
        <v>102</v>
      </c>
      <c r="E323" s="3">
        <v>1</v>
      </c>
      <c r="F323" s="1" t="s">
        <v>432</v>
      </c>
      <c r="G323" s="1" t="s">
        <v>146</v>
      </c>
      <c r="H323" s="1" t="str">
        <f>IF(COUNTIF(items_clean!$A:$A, D323)&gt;0, "Valid", "Invalid")</f>
        <v>Valid</v>
      </c>
      <c r="I323">
        <f>IF(COUNTIF(items_clean!$A:$A, D323)&gt;0, 1, 0)</f>
        <v>1</v>
      </c>
    </row>
    <row r="324" spans="1:9" x14ac:dyDescent="0.3">
      <c r="A324" s="1">
        <v>323</v>
      </c>
      <c r="B324" s="1" t="s">
        <v>470</v>
      </c>
      <c r="C324" s="4">
        <v>45337.558333333334</v>
      </c>
      <c r="D324" s="1" t="s">
        <v>121</v>
      </c>
      <c r="E324" s="3">
        <v>1</v>
      </c>
      <c r="F324" s="1" t="s">
        <v>434</v>
      </c>
      <c r="G324" s="1" t="s">
        <v>149</v>
      </c>
      <c r="H324" s="1" t="str">
        <f>IF(COUNTIF(items_clean!$A:$A, D324)&gt;0, "Valid", "Invalid")</f>
        <v>Valid</v>
      </c>
      <c r="I324">
        <f>IF(COUNTIF(items_clean!$A:$A, D324)&gt;0, 1, 0)</f>
        <v>1</v>
      </c>
    </row>
    <row r="325" spans="1:9" x14ac:dyDescent="0.3">
      <c r="A325" s="1">
        <v>324</v>
      </c>
      <c r="B325" s="1" t="s">
        <v>471</v>
      </c>
      <c r="C325" s="4">
        <v>45337.5625</v>
      </c>
      <c r="D325" s="1" t="s">
        <v>96</v>
      </c>
      <c r="E325" s="3">
        <v>1</v>
      </c>
      <c r="F325" s="1" t="s">
        <v>472</v>
      </c>
      <c r="G325" s="1" t="s">
        <v>146</v>
      </c>
      <c r="H325" s="1" t="str">
        <f>IF(COUNTIF(items_clean!$A:$A, D325)&gt;0, "Valid", "Invalid")</f>
        <v>Valid</v>
      </c>
      <c r="I325">
        <f>IF(COUNTIF(items_clean!$A:$A, D325)&gt;0, 1, 0)</f>
        <v>1</v>
      </c>
    </row>
    <row r="326" spans="1:9" x14ac:dyDescent="0.3">
      <c r="A326" s="1">
        <v>325</v>
      </c>
      <c r="B326" s="1" t="s">
        <v>473</v>
      </c>
      <c r="C326" s="4">
        <v>45337.566666666666</v>
      </c>
      <c r="D326" s="1" t="s">
        <v>113</v>
      </c>
      <c r="E326" s="3">
        <v>1</v>
      </c>
      <c r="F326" s="1" t="s">
        <v>474</v>
      </c>
      <c r="G326" s="1" t="s">
        <v>149</v>
      </c>
      <c r="H326" s="1" t="str">
        <f>IF(COUNTIF(items_clean!$A:$A, D326)&gt;0, "Valid", "Invalid")</f>
        <v>Valid</v>
      </c>
      <c r="I326">
        <f>IF(COUNTIF(items_clean!$A:$A, D326)&gt;0, 1, 0)</f>
        <v>1</v>
      </c>
    </row>
    <row r="327" spans="1:9" x14ac:dyDescent="0.3">
      <c r="A327" s="1">
        <v>326</v>
      </c>
      <c r="B327" s="1" t="s">
        <v>475</v>
      </c>
      <c r="C327" s="4">
        <v>45337.570833333331</v>
      </c>
      <c r="D327" s="1" t="s">
        <v>128</v>
      </c>
      <c r="E327" s="3">
        <v>1</v>
      </c>
      <c r="F327" s="1" t="s">
        <v>476</v>
      </c>
      <c r="G327" s="1" t="s">
        <v>146</v>
      </c>
      <c r="H327" s="1" t="str">
        <f>IF(COUNTIF(items_clean!$A:$A, D327)&gt;0, "Valid", "Invalid")</f>
        <v>Valid</v>
      </c>
      <c r="I327">
        <f>IF(COUNTIF(items_clean!$A:$A, D327)&gt;0, 1, 0)</f>
        <v>1</v>
      </c>
    </row>
    <row r="328" spans="1:9" x14ac:dyDescent="0.3">
      <c r="A328" s="1">
        <v>327</v>
      </c>
      <c r="B328" s="1" t="s">
        <v>477</v>
      </c>
      <c r="C328" s="4">
        <v>45337.574999999997</v>
      </c>
      <c r="D328" s="1" t="s">
        <v>104</v>
      </c>
      <c r="E328" s="3">
        <v>1</v>
      </c>
      <c r="F328" s="1" t="s">
        <v>478</v>
      </c>
      <c r="G328" s="1" t="s">
        <v>149</v>
      </c>
      <c r="H328" s="1" t="str">
        <f>IF(COUNTIF(items_clean!$A:$A, D328)&gt;0, "Valid", "Invalid")</f>
        <v>Valid</v>
      </c>
      <c r="I328">
        <f>IF(COUNTIF(items_clean!$A:$A, D328)&gt;0, 1, 0)</f>
        <v>1</v>
      </c>
    </row>
    <row r="329" spans="1:9" x14ac:dyDescent="0.3">
      <c r="A329" s="1">
        <v>328</v>
      </c>
      <c r="B329" s="1" t="s">
        <v>477</v>
      </c>
      <c r="C329" s="4">
        <v>45337.574999999997</v>
      </c>
      <c r="D329" s="1" t="s">
        <v>254</v>
      </c>
      <c r="E329" s="3">
        <v>1</v>
      </c>
      <c r="F329" s="1" t="s">
        <v>478</v>
      </c>
      <c r="G329" s="1" t="s">
        <v>778</v>
      </c>
      <c r="H329" s="1" t="str">
        <f>IF(COUNTIF(items_clean!$A:$A, D329)&gt;0, "Valid", "Invalid")</f>
        <v>Invalid</v>
      </c>
      <c r="I329">
        <f>IF(COUNTIF(items_clean!$A:$A, D329)&gt;0, 1, 0)</f>
        <v>0</v>
      </c>
    </row>
    <row r="330" spans="1:9" x14ac:dyDescent="0.3">
      <c r="A330" s="1">
        <v>329</v>
      </c>
      <c r="B330" s="1" t="s">
        <v>479</v>
      </c>
      <c r="C330" s="4">
        <v>45337.57916666667</v>
      </c>
      <c r="D330" s="1" t="s">
        <v>132</v>
      </c>
      <c r="E330" s="3">
        <v>1</v>
      </c>
      <c r="F330" s="1" t="s">
        <v>480</v>
      </c>
      <c r="G330" s="1" t="s">
        <v>146</v>
      </c>
      <c r="H330" s="1" t="str">
        <f>IF(COUNTIF(items_clean!$A:$A, D330)&gt;0, "Valid", "Invalid")</f>
        <v>Valid</v>
      </c>
      <c r="I330">
        <f>IF(COUNTIF(items_clean!$A:$A, D330)&gt;0, 1, 0)</f>
        <v>1</v>
      </c>
    </row>
    <row r="331" spans="1:9" x14ac:dyDescent="0.3">
      <c r="A331" s="1">
        <v>330</v>
      </c>
      <c r="B331" s="1" t="s">
        <v>481</v>
      </c>
      <c r="C331" s="4">
        <v>45337.583333333336</v>
      </c>
      <c r="D331" s="1" t="s">
        <v>108</v>
      </c>
      <c r="E331" s="3">
        <v>1</v>
      </c>
      <c r="F331" s="1" t="s">
        <v>482</v>
      </c>
      <c r="G331" s="1" t="s">
        <v>149</v>
      </c>
      <c r="H331" s="1" t="str">
        <f>IF(COUNTIF(items_clean!$A:$A, D331)&gt;0, "Valid", "Invalid")</f>
        <v>Valid</v>
      </c>
      <c r="I331">
        <f>IF(COUNTIF(items_clean!$A:$A, D331)&gt;0, 1, 0)</f>
        <v>1</v>
      </c>
    </row>
    <row r="332" spans="1:9" x14ac:dyDescent="0.3">
      <c r="A332" s="1">
        <v>331</v>
      </c>
      <c r="B332" s="1" t="s">
        <v>483</v>
      </c>
      <c r="C332" s="4">
        <v>45337.587500000001</v>
      </c>
      <c r="D332" s="1" t="s">
        <v>134</v>
      </c>
      <c r="E332" s="3">
        <v>1</v>
      </c>
      <c r="F332" s="1" t="s">
        <v>484</v>
      </c>
      <c r="G332" s="1" t="s">
        <v>146</v>
      </c>
      <c r="H332" s="1" t="str">
        <f>IF(COUNTIF(items_clean!$A:$A, D332)&gt;0, "Valid", "Invalid")</f>
        <v>Valid</v>
      </c>
      <c r="I332">
        <f>IF(COUNTIF(items_clean!$A:$A, D332)&gt;0, 1, 0)</f>
        <v>1</v>
      </c>
    </row>
    <row r="333" spans="1:9" x14ac:dyDescent="0.3">
      <c r="A333" s="1">
        <v>332</v>
      </c>
      <c r="B333" s="1" t="s">
        <v>485</v>
      </c>
      <c r="C333" s="4">
        <v>45337.591666666667</v>
      </c>
      <c r="D333" s="1" t="s">
        <v>118</v>
      </c>
      <c r="E333" s="3">
        <v>1</v>
      </c>
      <c r="F333" s="1" t="s">
        <v>486</v>
      </c>
      <c r="G333" s="1" t="s">
        <v>149</v>
      </c>
      <c r="H333" s="1" t="str">
        <f>IF(COUNTIF(items_clean!$A:$A, D333)&gt;0, "Valid", "Invalid")</f>
        <v>Valid</v>
      </c>
      <c r="I333">
        <f>IF(COUNTIF(items_clean!$A:$A, D333)&gt;0, 1, 0)</f>
        <v>1</v>
      </c>
    </row>
    <row r="334" spans="1:9" x14ac:dyDescent="0.3">
      <c r="A334" s="1">
        <v>333</v>
      </c>
      <c r="B334" s="1" t="s">
        <v>487</v>
      </c>
      <c r="C334" s="4">
        <v>45337.595833333333</v>
      </c>
      <c r="D334" s="1" t="s">
        <v>265</v>
      </c>
      <c r="E334" s="3">
        <v>1</v>
      </c>
      <c r="F334" s="1" t="s">
        <v>401</v>
      </c>
      <c r="G334" s="1" t="s">
        <v>146</v>
      </c>
      <c r="H334" s="1" t="str">
        <f>IF(COUNTIF(items_clean!$A:$A, D334)&gt;0, "Valid", "Invalid")</f>
        <v>Invalid</v>
      </c>
      <c r="I334">
        <f>IF(COUNTIF(items_clean!$A:$A, D334)&gt;0, 1, 0)</f>
        <v>0</v>
      </c>
    </row>
    <row r="335" spans="1:9" x14ac:dyDescent="0.3">
      <c r="A335" s="1">
        <v>334</v>
      </c>
      <c r="B335" s="1" t="s">
        <v>488</v>
      </c>
      <c r="C335" s="4">
        <v>45337.599999999999</v>
      </c>
      <c r="D335" s="1" t="s">
        <v>125</v>
      </c>
      <c r="E335" s="3">
        <v>1</v>
      </c>
      <c r="F335" s="1" t="s">
        <v>489</v>
      </c>
      <c r="G335" s="1" t="s">
        <v>149</v>
      </c>
      <c r="H335" s="1" t="str">
        <f>IF(COUNTIF(items_clean!$A:$A, D335)&gt;0, "Valid", "Invalid")</f>
        <v>Valid</v>
      </c>
      <c r="I335">
        <f>IF(COUNTIF(items_clean!$A:$A, D335)&gt;0, 1, 0)</f>
        <v>1</v>
      </c>
    </row>
    <row r="336" spans="1:9" x14ac:dyDescent="0.3">
      <c r="A336" s="1">
        <v>335</v>
      </c>
      <c r="B336" s="1" t="s">
        <v>490</v>
      </c>
      <c r="C336" s="4">
        <v>45337.604166666664</v>
      </c>
      <c r="D336" s="1" t="s">
        <v>278</v>
      </c>
      <c r="E336" s="3">
        <v>1</v>
      </c>
      <c r="F336" s="1" t="s">
        <v>491</v>
      </c>
      <c r="G336" s="1" t="s">
        <v>146</v>
      </c>
      <c r="H336" s="1" t="str">
        <f>IF(COUNTIF(items_clean!$A:$A, D336)&gt;0, "Valid", "Invalid")</f>
        <v>Invalid</v>
      </c>
      <c r="I336">
        <f>IF(COUNTIF(items_clean!$A:$A, D336)&gt;0, 1, 0)</f>
        <v>0</v>
      </c>
    </row>
    <row r="337" spans="1:9" x14ac:dyDescent="0.3">
      <c r="A337" s="1">
        <v>336</v>
      </c>
      <c r="B337" s="1" t="s">
        <v>492</v>
      </c>
      <c r="C337" s="4">
        <v>45337.60833333333</v>
      </c>
      <c r="D337" s="1" t="s">
        <v>111</v>
      </c>
      <c r="E337" s="3">
        <v>1</v>
      </c>
      <c r="F337" s="1" t="s">
        <v>493</v>
      </c>
      <c r="G337" s="1" t="s">
        <v>149</v>
      </c>
      <c r="H337" s="1" t="str">
        <f>IF(COUNTIF(items_clean!$A:$A, D337)&gt;0, "Valid", "Invalid")</f>
        <v>Valid</v>
      </c>
      <c r="I337">
        <f>IF(COUNTIF(items_clean!$A:$A, D337)&gt;0, 1, 0)</f>
        <v>1</v>
      </c>
    </row>
    <row r="338" spans="1:9" x14ac:dyDescent="0.3">
      <c r="A338" s="1">
        <v>337</v>
      </c>
      <c r="B338" s="1" t="s">
        <v>494</v>
      </c>
      <c r="C338" s="4">
        <v>45337.619444444441</v>
      </c>
      <c r="D338" s="1" t="s">
        <v>100</v>
      </c>
      <c r="E338" s="3">
        <v>1</v>
      </c>
      <c r="F338" s="1" t="s">
        <v>451</v>
      </c>
      <c r="G338" s="1" t="s">
        <v>146</v>
      </c>
      <c r="H338" s="1" t="str">
        <f>IF(COUNTIF(items_clean!$A:$A, D338)&gt;0, "Valid", "Invalid")</f>
        <v>Valid</v>
      </c>
      <c r="I338">
        <f>IF(COUNTIF(items_clean!$A:$A, D338)&gt;0, 1, 0)</f>
        <v>1</v>
      </c>
    </row>
    <row r="339" spans="1:9" x14ac:dyDescent="0.3">
      <c r="A339" s="1">
        <v>338</v>
      </c>
      <c r="B339" s="1" t="s">
        <v>495</v>
      </c>
      <c r="C339" s="4">
        <v>45337.630555555559</v>
      </c>
      <c r="D339" s="1" t="s">
        <v>126</v>
      </c>
      <c r="E339" s="3">
        <v>1</v>
      </c>
      <c r="F339" s="1" t="s">
        <v>496</v>
      </c>
      <c r="G339" s="1" t="s">
        <v>149</v>
      </c>
      <c r="H339" s="1" t="str">
        <f>IF(COUNTIF(items_clean!$A:$A, D339)&gt;0, "Valid", "Invalid")</f>
        <v>Valid</v>
      </c>
      <c r="I339">
        <f>IF(COUNTIF(items_clean!$A:$A, D339)&gt;0, 1, 0)</f>
        <v>1</v>
      </c>
    </row>
    <row r="340" spans="1:9" x14ac:dyDescent="0.3">
      <c r="A340" s="1">
        <v>339</v>
      </c>
      <c r="B340" s="1" t="s">
        <v>497</v>
      </c>
      <c r="C340" s="4">
        <v>45337.64166666667</v>
      </c>
      <c r="D340" s="1" t="s">
        <v>116</v>
      </c>
      <c r="E340" s="3">
        <v>1</v>
      </c>
      <c r="F340" s="1" t="s">
        <v>498</v>
      </c>
      <c r="G340" s="1" t="s">
        <v>146</v>
      </c>
      <c r="H340" s="1" t="str">
        <f>IF(COUNTIF(items_clean!$A:$A, D340)&gt;0, "Valid", "Invalid")</f>
        <v>Valid</v>
      </c>
      <c r="I340">
        <f>IF(COUNTIF(items_clean!$A:$A, D340)&gt;0, 1, 0)</f>
        <v>1</v>
      </c>
    </row>
    <row r="341" spans="1:9" x14ac:dyDescent="0.3">
      <c r="A341" s="1">
        <v>340</v>
      </c>
      <c r="B341" s="1" t="s">
        <v>499</v>
      </c>
      <c r="C341" s="4">
        <v>45337.652777777781</v>
      </c>
      <c r="D341" s="1" t="s">
        <v>138</v>
      </c>
      <c r="E341" s="3">
        <v>1</v>
      </c>
      <c r="F341" s="1" t="s">
        <v>457</v>
      </c>
      <c r="G341" s="1" t="s">
        <v>149</v>
      </c>
      <c r="H341" s="1" t="str">
        <f>IF(COUNTIF(items_clean!$A:$A, D341)&gt;0, "Valid", "Invalid")</f>
        <v>Valid</v>
      </c>
      <c r="I341">
        <f>IF(COUNTIF(items_clean!$A:$A, D341)&gt;0, 1, 0)</f>
        <v>1</v>
      </c>
    </row>
    <row r="342" spans="1:9" x14ac:dyDescent="0.3">
      <c r="A342" s="1">
        <v>341</v>
      </c>
      <c r="B342" s="1" t="s">
        <v>500</v>
      </c>
      <c r="C342" s="4">
        <v>45337.663888888892</v>
      </c>
      <c r="D342" s="1" t="s">
        <v>105</v>
      </c>
      <c r="E342" s="3">
        <v>1</v>
      </c>
      <c r="F342" s="1" t="s">
        <v>501</v>
      </c>
      <c r="G342" s="1" t="s">
        <v>146</v>
      </c>
      <c r="H342" s="1" t="str">
        <f>IF(COUNTIF(items_clean!$A:$A, D342)&gt;0, "Valid", "Invalid")</f>
        <v>Valid</v>
      </c>
      <c r="I342">
        <f>IF(COUNTIF(items_clean!$A:$A, D342)&gt;0, 1, 0)</f>
        <v>1</v>
      </c>
    </row>
    <row r="343" spans="1:9" x14ac:dyDescent="0.3">
      <c r="A343" s="1">
        <v>342</v>
      </c>
      <c r="B343" s="1" t="s">
        <v>502</v>
      </c>
      <c r="C343" s="4">
        <v>45337.675000000003</v>
      </c>
      <c r="D343" s="1" t="s">
        <v>131</v>
      </c>
      <c r="E343" s="3">
        <v>1</v>
      </c>
      <c r="F343" s="1" t="s">
        <v>503</v>
      </c>
      <c r="G343" s="1" t="s">
        <v>149</v>
      </c>
      <c r="H343" s="1" t="str">
        <f>IF(COUNTIF(items_clean!$A:$A, D343)&gt;0, "Valid", "Invalid")</f>
        <v>Valid</v>
      </c>
      <c r="I343">
        <f>IF(COUNTIF(items_clean!$A:$A, D343)&gt;0, 1, 0)</f>
        <v>1</v>
      </c>
    </row>
    <row r="344" spans="1:9" x14ac:dyDescent="0.3">
      <c r="A344" s="1">
        <v>343</v>
      </c>
      <c r="B344" s="1" t="s">
        <v>504</v>
      </c>
      <c r="C344" s="4">
        <v>45337.686111111114</v>
      </c>
      <c r="D344" s="1" t="s">
        <v>121</v>
      </c>
      <c r="E344" s="3">
        <v>1</v>
      </c>
      <c r="F344" s="1" t="s">
        <v>505</v>
      </c>
      <c r="G344" s="1" t="s">
        <v>146</v>
      </c>
      <c r="H344" s="1" t="str">
        <f>IF(COUNTIF(items_clean!$A:$A, D344)&gt;0, "Valid", "Invalid")</f>
        <v>Valid</v>
      </c>
      <c r="I344">
        <f>IF(COUNTIF(items_clean!$A:$A, D344)&gt;0, 1, 0)</f>
        <v>1</v>
      </c>
    </row>
    <row r="345" spans="1:9" x14ac:dyDescent="0.3">
      <c r="A345" s="1">
        <v>344</v>
      </c>
      <c r="B345" s="1" t="s">
        <v>506</v>
      </c>
      <c r="C345" s="4">
        <v>45337.697222222225</v>
      </c>
      <c r="D345" s="1" t="s">
        <v>265</v>
      </c>
      <c r="E345" s="3">
        <v>1</v>
      </c>
      <c r="F345" s="1" t="s">
        <v>163</v>
      </c>
      <c r="G345" s="1" t="s">
        <v>149</v>
      </c>
      <c r="H345" s="1" t="str">
        <f>IF(COUNTIF(items_clean!$A:$A, D345)&gt;0, "Valid", "Invalid")</f>
        <v>Invalid</v>
      </c>
      <c r="I345">
        <f>IF(COUNTIF(items_clean!$A:$A, D345)&gt;0, 1, 0)</f>
        <v>0</v>
      </c>
    </row>
    <row r="346" spans="1:9" x14ac:dyDescent="0.3">
      <c r="A346" s="1">
        <v>345</v>
      </c>
      <c r="B346" s="1" t="s">
        <v>507</v>
      </c>
      <c r="C346" s="4">
        <v>45337.708333333336</v>
      </c>
      <c r="D346" s="1" t="s">
        <v>113</v>
      </c>
      <c r="E346" s="3">
        <v>1</v>
      </c>
      <c r="F346" s="1" t="s">
        <v>508</v>
      </c>
      <c r="G346" s="1" t="s">
        <v>146</v>
      </c>
      <c r="H346" s="1" t="str">
        <f>IF(COUNTIF(items_clean!$A:$A, D346)&gt;0, "Valid", "Invalid")</f>
        <v>Valid</v>
      </c>
      <c r="I346">
        <f>IF(COUNTIF(items_clean!$A:$A, D346)&gt;0, 1, 0)</f>
        <v>1</v>
      </c>
    </row>
    <row r="347" spans="1:9" x14ac:dyDescent="0.3">
      <c r="A347" s="1">
        <v>346</v>
      </c>
      <c r="B347" s="1" t="s">
        <v>509</v>
      </c>
      <c r="C347" s="4">
        <v>45338.297222222223</v>
      </c>
      <c r="D347" s="1" t="s">
        <v>105</v>
      </c>
      <c r="E347" s="3">
        <v>1</v>
      </c>
      <c r="F347" s="1" t="s">
        <v>510</v>
      </c>
      <c r="G347" s="1" t="s">
        <v>146</v>
      </c>
      <c r="H347" s="1" t="str">
        <f>IF(COUNTIF(items_clean!$A:$A, D347)&gt;0, "Valid", "Invalid")</f>
        <v>Valid</v>
      </c>
      <c r="I347">
        <f>IF(COUNTIF(items_clean!$A:$A, D347)&gt;0, 1, 0)</f>
        <v>1</v>
      </c>
    </row>
    <row r="348" spans="1:9" x14ac:dyDescent="0.3">
      <c r="A348" s="1">
        <v>347</v>
      </c>
      <c r="B348" s="1" t="s">
        <v>511</v>
      </c>
      <c r="C348" s="4">
        <v>45338.302083333336</v>
      </c>
      <c r="D348" s="1" t="s">
        <v>118</v>
      </c>
      <c r="E348" s="3">
        <v>1</v>
      </c>
      <c r="F348" s="1" t="s">
        <v>415</v>
      </c>
      <c r="G348" s="1" t="s">
        <v>149</v>
      </c>
      <c r="H348" s="1" t="str">
        <f>IF(COUNTIF(items_clean!$A:$A, D348)&gt;0, "Valid", "Invalid")</f>
        <v>Valid</v>
      </c>
      <c r="I348">
        <f>IF(COUNTIF(items_clean!$A:$A, D348)&gt;0, 1, 0)</f>
        <v>1</v>
      </c>
    </row>
    <row r="349" spans="1:9" x14ac:dyDescent="0.3">
      <c r="A349" s="1">
        <v>348</v>
      </c>
      <c r="B349" s="1" t="s">
        <v>512</v>
      </c>
      <c r="C349" s="4">
        <v>45338.306944444441</v>
      </c>
      <c r="D349" s="1" t="s">
        <v>128</v>
      </c>
      <c r="E349" s="3">
        <v>1</v>
      </c>
      <c r="F349" s="1" t="s">
        <v>513</v>
      </c>
      <c r="G349" s="1" t="s">
        <v>778</v>
      </c>
      <c r="H349" s="1" t="str">
        <f>IF(COUNTIF(items_clean!$A:$A, D349)&gt;0, "Valid", "Invalid")</f>
        <v>Valid</v>
      </c>
      <c r="I349">
        <f>IF(COUNTIF(items_clean!$A:$A, D349)&gt;0, 1, 0)</f>
        <v>1</v>
      </c>
    </row>
    <row r="350" spans="1:9" x14ac:dyDescent="0.3">
      <c r="A350" s="1">
        <v>349</v>
      </c>
      <c r="B350" s="1" t="s">
        <v>512</v>
      </c>
      <c r="C350" s="4">
        <v>45338.306944444441</v>
      </c>
      <c r="D350" s="1" t="s">
        <v>134</v>
      </c>
      <c r="E350" s="3">
        <v>1</v>
      </c>
      <c r="F350" s="1" t="s">
        <v>513</v>
      </c>
      <c r="G350" s="1" t="s">
        <v>146</v>
      </c>
      <c r="H350" s="1" t="str">
        <f>IF(COUNTIF(items_clean!$A:$A, D350)&gt;0, "Valid", "Invalid")</f>
        <v>Valid</v>
      </c>
      <c r="I350">
        <f>IF(COUNTIF(items_clean!$A:$A, D350)&gt;0, 1, 0)</f>
        <v>1</v>
      </c>
    </row>
    <row r="351" spans="1:9" x14ac:dyDescent="0.3">
      <c r="A351" s="1">
        <v>350</v>
      </c>
      <c r="B351" s="1" t="s">
        <v>514</v>
      </c>
      <c r="C351" s="4">
        <v>45338.311805555553</v>
      </c>
      <c r="D351" s="1" t="s">
        <v>104</v>
      </c>
      <c r="E351" s="3">
        <v>1</v>
      </c>
      <c r="F351" s="1" t="s">
        <v>515</v>
      </c>
      <c r="G351" s="1" t="s">
        <v>149</v>
      </c>
      <c r="H351" s="1" t="str">
        <f>IF(COUNTIF(items_clean!$A:$A, D351)&gt;0, "Valid", "Invalid")</f>
        <v>Valid</v>
      </c>
      <c r="I351">
        <f>IF(COUNTIF(items_clean!$A:$A, D351)&gt;0, 1, 0)</f>
        <v>1</v>
      </c>
    </row>
    <row r="352" spans="1:9" x14ac:dyDescent="0.3">
      <c r="A352" s="1">
        <v>351</v>
      </c>
      <c r="B352" s="1" t="s">
        <v>516</v>
      </c>
      <c r="C352" s="4">
        <v>45338.316666666666</v>
      </c>
      <c r="D352" s="1" t="s">
        <v>265</v>
      </c>
      <c r="E352" s="3">
        <v>1</v>
      </c>
      <c r="F352" s="1" t="s">
        <v>444</v>
      </c>
      <c r="G352" s="1" t="s">
        <v>146</v>
      </c>
      <c r="H352" s="1" t="str">
        <f>IF(COUNTIF(items_clean!$A:$A, D352)&gt;0, "Valid", "Invalid")</f>
        <v>Invalid</v>
      </c>
      <c r="I352">
        <f>IF(COUNTIF(items_clean!$A:$A, D352)&gt;0, 1, 0)</f>
        <v>0</v>
      </c>
    </row>
    <row r="353" spans="1:9" x14ac:dyDescent="0.3">
      <c r="A353" s="1">
        <v>352</v>
      </c>
      <c r="B353" s="1" t="s">
        <v>517</v>
      </c>
      <c r="C353" s="4">
        <v>45338.321527777778</v>
      </c>
      <c r="D353" s="1" t="s">
        <v>116</v>
      </c>
      <c r="E353" s="3">
        <v>1</v>
      </c>
      <c r="F353" s="1" t="s">
        <v>518</v>
      </c>
      <c r="G353" s="1" t="s">
        <v>149</v>
      </c>
      <c r="H353" s="1" t="str">
        <f>IF(COUNTIF(items_clean!$A:$A, D353)&gt;0, "Valid", "Invalid")</f>
        <v>Valid</v>
      </c>
      <c r="I353">
        <f>IF(COUNTIF(items_clean!$A:$A, D353)&gt;0, 1, 0)</f>
        <v>1</v>
      </c>
    </row>
    <row r="354" spans="1:9" x14ac:dyDescent="0.3">
      <c r="A354" s="1">
        <v>353</v>
      </c>
      <c r="B354" s="1" t="s">
        <v>519</v>
      </c>
      <c r="C354" s="4">
        <v>45338.32708333333</v>
      </c>
      <c r="D354" s="1" t="s">
        <v>122</v>
      </c>
      <c r="E354" s="3">
        <v>1</v>
      </c>
      <c r="F354" s="1" t="s">
        <v>448</v>
      </c>
      <c r="G354" s="1" t="s">
        <v>146</v>
      </c>
      <c r="H354" s="1" t="str">
        <f>IF(COUNTIF(items_clean!$A:$A, D354)&gt;0, "Valid", "Invalid")</f>
        <v>Valid</v>
      </c>
      <c r="I354">
        <f>IF(COUNTIF(items_clean!$A:$A, D354)&gt;0, 1, 0)</f>
        <v>1</v>
      </c>
    </row>
    <row r="355" spans="1:9" x14ac:dyDescent="0.3">
      <c r="A355" s="1">
        <v>354</v>
      </c>
      <c r="B355" s="1" t="s">
        <v>520</v>
      </c>
      <c r="C355" s="4">
        <v>45338.331944444442</v>
      </c>
      <c r="D355" s="1" t="s">
        <v>96</v>
      </c>
      <c r="E355" s="3">
        <v>1</v>
      </c>
      <c r="F355" s="1" t="s">
        <v>521</v>
      </c>
      <c r="G355" s="1" t="s">
        <v>149</v>
      </c>
      <c r="H355" s="1" t="str">
        <f>IF(COUNTIF(items_clean!$A:$A, D355)&gt;0, "Valid", "Invalid")</f>
        <v>Valid</v>
      </c>
      <c r="I355">
        <f>IF(COUNTIF(items_clean!$A:$A, D355)&gt;0, 1, 0)</f>
        <v>1</v>
      </c>
    </row>
    <row r="356" spans="1:9" x14ac:dyDescent="0.3">
      <c r="A356" s="1">
        <v>355</v>
      </c>
      <c r="B356" s="1" t="s">
        <v>520</v>
      </c>
      <c r="C356" s="4">
        <v>45338.331944444442</v>
      </c>
      <c r="D356" s="1" t="s">
        <v>108</v>
      </c>
      <c r="E356" s="3">
        <v>1</v>
      </c>
      <c r="F356" s="1" t="s">
        <v>521</v>
      </c>
      <c r="G356" s="1" t="s">
        <v>778</v>
      </c>
      <c r="H356" s="1" t="str">
        <f>IF(COUNTIF(items_clean!$A:$A, D356)&gt;0, "Valid", "Invalid")</f>
        <v>Valid</v>
      </c>
      <c r="I356">
        <f>IF(COUNTIF(items_clean!$A:$A, D356)&gt;0, 1, 0)</f>
        <v>1</v>
      </c>
    </row>
    <row r="357" spans="1:9" x14ac:dyDescent="0.3">
      <c r="A357" s="1">
        <v>356</v>
      </c>
      <c r="B357" s="1" t="s">
        <v>522</v>
      </c>
      <c r="C357" s="4">
        <v>45338.336805555555</v>
      </c>
      <c r="D357" s="1" t="s">
        <v>129</v>
      </c>
      <c r="E357" s="3">
        <v>1</v>
      </c>
      <c r="F357" s="1" t="s">
        <v>523</v>
      </c>
      <c r="G357" s="1" t="s">
        <v>146</v>
      </c>
      <c r="H357" s="1" t="str">
        <f>IF(COUNTIF(items_clean!$A:$A, D357)&gt;0, "Valid", "Invalid")</f>
        <v>Valid</v>
      </c>
      <c r="I357">
        <f>IF(COUNTIF(items_clean!$A:$A, D357)&gt;0, 1, 0)</f>
        <v>1</v>
      </c>
    </row>
    <row r="358" spans="1:9" x14ac:dyDescent="0.3">
      <c r="A358" s="1">
        <v>357</v>
      </c>
      <c r="B358" s="1" t="s">
        <v>524</v>
      </c>
      <c r="C358" s="4">
        <v>45338.341666666667</v>
      </c>
      <c r="D358" s="1" t="s">
        <v>135</v>
      </c>
      <c r="E358" s="3">
        <v>1</v>
      </c>
      <c r="F358" s="1" t="s">
        <v>525</v>
      </c>
      <c r="G358" s="1" t="s">
        <v>149</v>
      </c>
      <c r="H358" s="1" t="str">
        <f>IF(COUNTIF(items_clean!$A:$A, D358)&gt;0, "Valid", "Invalid")</f>
        <v>Valid</v>
      </c>
      <c r="I358">
        <f>IF(COUNTIF(items_clean!$A:$A, D358)&gt;0, 1, 0)</f>
        <v>1</v>
      </c>
    </row>
    <row r="359" spans="1:9" x14ac:dyDescent="0.3">
      <c r="A359" s="1">
        <v>358</v>
      </c>
      <c r="B359" s="1" t="s">
        <v>526</v>
      </c>
      <c r="C359" s="4">
        <v>45338.34652777778</v>
      </c>
      <c r="D359" s="1" t="s">
        <v>113</v>
      </c>
      <c r="E359" s="3">
        <v>1</v>
      </c>
      <c r="F359" s="1" t="s">
        <v>527</v>
      </c>
      <c r="G359" s="1" t="s">
        <v>146</v>
      </c>
      <c r="H359" s="1" t="str">
        <f>IF(COUNTIF(items_clean!$A:$A, D359)&gt;0, "Valid", "Invalid")</f>
        <v>Valid</v>
      </c>
      <c r="I359">
        <f>IF(COUNTIF(items_clean!$A:$A, D359)&gt;0, 1, 0)</f>
        <v>1</v>
      </c>
    </row>
    <row r="360" spans="1:9" x14ac:dyDescent="0.3">
      <c r="A360" s="1">
        <v>359</v>
      </c>
      <c r="B360" s="1" t="s">
        <v>528</v>
      </c>
      <c r="C360" s="4">
        <v>45338.351388888892</v>
      </c>
      <c r="D360" s="1" t="s">
        <v>102</v>
      </c>
      <c r="E360" s="3">
        <v>1</v>
      </c>
      <c r="F360" s="1" t="s">
        <v>529</v>
      </c>
      <c r="G360" s="1" t="s">
        <v>149</v>
      </c>
      <c r="H360" s="1" t="str">
        <f>IF(COUNTIF(items_clean!$A:$A, D360)&gt;0, "Valid", "Invalid")</f>
        <v>Valid</v>
      </c>
      <c r="I360">
        <f>IF(COUNTIF(items_clean!$A:$A, D360)&gt;0, 1, 0)</f>
        <v>1</v>
      </c>
    </row>
    <row r="361" spans="1:9" x14ac:dyDescent="0.3">
      <c r="A361" s="1">
        <v>360</v>
      </c>
      <c r="B361" s="1" t="s">
        <v>528</v>
      </c>
      <c r="C361" s="4">
        <v>45338.351388888892</v>
      </c>
      <c r="D361" s="1" t="s">
        <v>131</v>
      </c>
      <c r="E361" s="3">
        <v>1</v>
      </c>
      <c r="F361" s="1" t="s">
        <v>529</v>
      </c>
      <c r="G361" s="1" t="s">
        <v>778</v>
      </c>
      <c r="H361" s="1" t="str">
        <f>IF(COUNTIF(items_clean!$A:$A, D361)&gt;0, "Valid", "Invalid")</f>
        <v>Valid</v>
      </c>
      <c r="I361">
        <f>IF(COUNTIF(items_clean!$A:$A, D361)&gt;0, 1, 0)</f>
        <v>1</v>
      </c>
    </row>
    <row r="362" spans="1:9" x14ac:dyDescent="0.3">
      <c r="A362" s="1">
        <v>361</v>
      </c>
      <c r="B362" s="1" t="s">
        <v>530</v>
      </c>
      <c r="C362" s="4">
        <v>45338.356249999997</v>
      </c>
      <c r="D362" s="1" t="s">
        <v>110</v>
      </c>
      <c r="E362" s="3">
        <v>1</v>
      </c>
      <c r="F362" s="1" t="s">
        <v>531</v>
      </c>
      <c r="G362" s="1" t="s">
        <v>146</v>
      </c>
      <c r="H362" s="1" t="str">
        <f>IF(COUNTIF(items_clean!$A:$A, D362)&gt;0, "Valid", "Invalid")</f>
        <v>Valid</v>
      </c>
      <c r="I362">
        <f>IF(COUNTIF(items_clean!$A:$A, D362)&gt;0, 1, 0)</f>
        <v>1</v>
      </c>
    </row>
    <row r="363" spans="1:9" x14ac:dyDescent="0.3">
      <c r="A363" s="1">
        <v>362</v>
      </c>
      <c r="B363" s="1" t="s">
        <v>532</v>
      </c>
      <c r="C363" s="4">
        <v>45338.361111111109</v>
      </c>
      <c r="D363" s="1" t="s">
        <v>119</v>
      </c>
      <c r="E363" s="3">
        <v>1</v>
      </c>
      <c r="F363" s="1" t="s">
        <v>419</v>
      </c>
      <c r="G363" s="1" t="s">
        <v>149</v>
      </c>
      <c r="H363" s="1" t="str">
        <f>IF(COUNTIF(items_clean!$A:$A, D363)&gt;0, "Valid", "Invalid")</f>
        <v>Valid</v>
      </c>
      <c r="I363">
        <f>IF(COUNTIF(items_clean!$A:$A, D363)&gt;0, 1, 0)</f>
        <v>1</v>
      </c>
    </row>
    <row r="364" spans="1:9" x14ac:dyDescent="0.3">
      <c r="A364" s="1">
        <v>363</v>
      </c>
      <c r="B364" s="1" t="s">
        <v>533</v>
      </c>
      <c r="C364" s="4">
        <v>45338.366666666669</v>
      </c>
      <c r="D364" s="1" t="s">
        <v>272</v>
      </c>
      <c r="E364" s="3">
        <v>1</v>
      </c>
      <c r="F364" s="1" t="s">
        <v>421</v>
      </c>
      <c r="G364" s="1" t="s">
        <v>146</v>
      </c>
      <c r="H364" s="1" t="str">
        <f>IF(COUNTIF(items_clean!$A:$A, D364)&gt;0, "Valid", "Invalid")</f>
        <v>Invalid</v>
      </c>
      <c r="I364">
        <f>IF(COUNTIF(items_clean!$A:$A, D364)&gt;0, 1, 0)</f>
        <v>0</v>
      </c>
    </row>
    <row r="365" spans="1:9" x14ac:dyDescent="0.3">
      <c r="A365" s="1">
        <v>364</v>
      </c>
      <c r="B365" s="1" t="s">
        <v>534</v>
      </c>
      <c r="C365" s="4">
        <v>45338.371527777781</v>
      </c>
      <c r="D365" s="1" t="s">
        <v>115</v>
      </c>
      <c r="E365" s="3">
        <v>1</v>
      </c>
      <c r="F365" s="1" t="s">
        <v>163</v>
      </c>
      <c r="G365" s="1" t="s">
        <v>149</v>
      </c>
      <c r="H365" s="1" t="str">
        <f>IF(COUNTIF(items_clean!$A:$A, D365)&gt;0, "Valid", "Invalid")</f>
        <v>Valid</v>
      </c>
      <c r="I365">
        <f>IF(COUNTIF(items_clean!$A:$A, D365)&gt;0, 1, 0)</f>
        <v>1</v>
      </c>
    </row>
    <row r="366" spans="1:9" x14ac:dyDescent="0.3">
      <c r="A366" s="1">
        <v>365</v>
      </c>
      <c r="B366" s="1" t="s">
        <v>535</v>
      </c>
      <c r="C366" s="4">
        <v>45338.376388888886</v>
      </c>
      <c r="D366" s="1" t="s">
        <v>111</v>
      </c>
      <c r="E366" s="3">
        <v>1</v>
      </c>
      <c r="F366" s="1" t="s">
        <v>508</v>
      </c>
      <c r="G366" s="1" t="s">
        <v>146</v>
      </c>
      <c r="H366" s="1" t="str">
        <f>IF(COUNTIF(items_clean!$A:$A, D366)&gt;0, "Valid", "Invalid")</f>
        <v>Valid</v>
      </c>
      <c r="I366">
        <f>IF(COUNTIF(items_clean!$A:$A, D366)&gt;0, 1, 0)</f>
        <v>1</v>
      </c>
    </row>
    <row r="367" spans="1:9" x14ac:dyDescent="0.3">
      <c r="A367" s="1">
        <v>366</v>
      </c>
      <c r="B367" s="1" t="s">
        <v>536</v>
      </c>
      <c r="C367" s="4">
        <v>45338.381249999999</v>
      </c>
      <c r="D367" s="1" t="s">
        <v>100</v>
      </c>
      <c r="E367" s="3">
        <v>1</v>
      </c>
      <c r="F367" s="1" t="s">
        <v>426</v>
      </c>
      <c r="G367" s="1" t="s">
        <v>149</v>
      </c>
      <c r="H367" s="1" t="str">
        <f>IF(COUNTIF(items_clean!$A:$A, D367)&gt;0, "Valid", "Invalid")</f>
        <v>Valid</v>
      </c>
      <c r="I367">
        <f>IF(COUNTIF(items_clean!$A:$A, D367)&gt;0, 1, 0)</f>
        <v>1</v>
      </c>
    </row>
    <row r="368" spans="1:9" x14ac:dyDescent="0.3">
      <c r="A368" s="1">
        <v>367</v>
      </c>
      <c r="B368" s="1" t="s">
        <v>536</v>
      </c>
      <c r="C368" s="4">
        <v>45338.381249999999</v>
      </c>
      <c r="D368" s="1" t="s">
        <v>121</v>
      </c>
      <c r="E368" s="3">
        <v>1</v>
      </c>
      <c r="F368" s="1" t="s">
        <v>426</v>
      </c>
      <c r="G368" s="1" t="s">
        <v>778</v>
      </c>
      <c r="H368" s="1" t="str">
        <f>IF(COUNTIF(items_clean!$A:$A, D368)&gt;0, "Valid", "Invalid")</f>
        <v>Valid</v>
      </c>
      <c r="I368">
        <f>IF(COUNTIF(items_clean!$A:$A, D368)&gt;0, 1, 0)</f>
        <v>1</v>
      </c>
    </row>
    <row r="369" spans="1:9" x14ac:dyDescent="0.3">
      <c r="A369" s="1">
        <v>368</v>
      </c>
      <c r="B369" s="1" t="s">
        <v>537</v>
      </c>
      <c r="C369" s="4">
        <v>45338.386111111111</v>
      </c>
      <c r="D369" s="1" t="s">
        <v>126</v>
      </c>
      <c r="E369" s="3">
        <v>1</v>
      </c>
      <c r="F369" s="1" t="s">
        <v>428</v>
      </c>
      <c r="G369" s="1" t="s">
        <v>146</v>
      </c>
      <c r="H369" s="1" t="str">
        <f>IF(COUNTIF(items_clean!$A:$A, D369)&gt;0, "Valid", "Invalid")</f>
        <v>Valid</v>
      </c>
      <c r="I369">
        <f>IF(COUNTIF(items_clean!$A:$A, D369)&gt;0, 1, 0)</f>
        <v>1</v>
      </c>
    </row>
    <row r="370" spans="1:9" x14ac:dyDescent="0.3">
      <c r="A370" s="1">
        <v>369</v>
      </c>
      <c r="B370" s="1" t="s">
        <v>538</v>
      </c>
      <c r="C370" s="4">
        <v>45338.390972222223</v>
      </c>
      <c r="D370" s="1" t="s">
        <v>138</v>
      </c>
      <c r="E370" s="3">
        <v>1</v>
      </c>
      <c r="F370" s="1" t="s">
        <v>539</v>
      </c>
      <c r="G370" s="1" t="s">
        <v>149</v>
      </c>
      <c r="H370" s="1" t="str">
        <f>IF(COUNTIF(items_clean!$A:$A, D370)&gt;0, "Valid", "Invalid")</f>
        <v>Valid</v>
      </c>
      <c r="I370">
        <f>IF(COUNTIF(items_clean!$A:$A, D370)&gt;0, 1, 0)</f>
        <v>1</v>
      </c>
    </row>
    <row r="371" spans="1:9" x14ac:dyDescent="0.3">
      <c r="A371" s="1">
        <v>370</v>
      </c>
      <c r="B371" s="1" t="s">
        <v>540</v>
      </c>
      <c r="C371" s="4">
        <v>45338.395833333336</v>
      </c>
      <c r="D371" s="1" t="s">
        <v>132</v>
      </c>
      <c r="E371" s="3">
        <v>1</v>
      </c>
      <c r="F371" s="1" t="s">
        <v>432</v>
      </c>
      <c r="G371" s="1" t="s">
        <v>146</v>
      </c>
      <c r="H371" s="1" t="str">
        <f>IF(COUNTIF(items_clean!$A:$A, D371)&gt;0, "Valid", "Invalid")</f>
        <v>Valid</v>
      </c>
      <c r="I371">
        <f>IF(COUNTIF(items_clean!$A:$A, D371)&gt;0, 1, 0)</f>
        <v>1</v>
      </c>
    </row>
    <row r="372" spans="1:9" x14ac:dyDescent="0.3">
      <c r="A372" s="1">
        <v>371</v>
      </c>
      <c r="B372" s="1" t="s">
        <v>541</v>
      </c>
      <c r="C372" s="4">
        <v>45338.401388888888</v>
      </c>
      <c r="D372" s="1" t="s">
        <v>125</v>
      </c>
      <c r="E372" s="3">
        <v>1</v>
      </c>
      <c r="F372" s="1" t="s">
        <v>434</v>
      </c>
      <c r="G372" s="1" t="s">
        <v>149</v>
      </c>
      <c r="H372" s="1" t="str">
        <f>IF(COUNTIF(items_clean!$A:$A, D372)&gt;0, "Valid", "Invalid")</f>
        <v>Valid</v>
      </c>
      <c r="I372">
        <f>IF(COUNTIF(items_clean!$A:$A, D372)&gt;0, 1, 0)</f>
        <v>1</v>
      </c>
    </row>
    <row r="373" spans="1:9" x14ac:dyDescent="0.3">
      <c r="A373" s="1">
        <v>372</v>
      </c>
      <c r="B373" s="1" t="s">
        <v>542</v>
      </c>
      <c r="C373" s="4">
        <v>45338.40625</v>
      </c>
      <c r="D373" s="1" t="s">
        <v>254</v>
      </c>
      <c r="E373" s="3">
        <v>1</v>
      </c>
      <c r="F373" s="1" t="s">
        <v>543</v>
      </c>
      <c r="G373" s="1" t="s">
        <v>146</v>
      </c>
      <c r="H373" s="1" t="str">
        <f>IF(COUNTIF(items_clean!$A:$A, D373)&gt;0, "Valid", "Invalid")</f>
        <v>Invalid</v>
      </c>
      <c r="I373">
        <f>IF(COUNTIF(items_clean!$A:$A, D373)&gt;0, 1, 0)</f>
        <v>0</v>
      </c>
    </row>
    <row r="374" spans="1:9" x14ac:dyDescent="0.3">
      <c r="A374" s="1">
        <v>373</v>
      </c>
      <c r="B374" s="1" t="s">
        <v>544</v>
      </c>
      <c r="C374" s="4">
        <v>45338.411111111112</v>
      </c>
      <c r="D374" s="1" t="s">
        <v>278</v>
      </c>
      <c r="E374" s="3">
        <v>1</v>
      </c>
      <c r="F374" s="1" t="s">
        <v>474</v>
      </c>
      <c r="G374" s="1" t="s">
        <v>149</v>
      </c>
      <c r="H374" s="1" t="str">
        <f>IF(COUNTIF(items_clean!$A:$A, D374)&gt;0, "Valid", "Invalid")</f>
        <v>Invalid</v>
      </c>
      <c r="I374">
        <f>IF(COUNTIF(items_clean!$A:$A, D374)&gt;0, 1, 0)</f>
        <v>0</v>
      </c>
    </row>
    <row r="375" spans="1:9" x14ac:dyDescent="0.3">
      <c r="A375" s="1">
        <v>374</v>
      </c>
      <c r="B375" s="1" t="s">
        <v>545</v>
      </c>
      <c r="C375" s="4">
        <v>45338.415972222225</v>
      </c>
      <c r="D375" s="1" t="s">
        <v>96</v>
      </c>
      <c r="E375" s="3">
        <v>1</v>
      </c>
      <c r="F375" s="1" t="s">
        <v>546</v>
      </c>
      <c r="G375" s="1" t="s">
        <v>146</v>
      </c>
      <c r="H375" s="1" t="str">
        <f>IF(COUNTIF(items_clean!$A:$A, D375)&gt;0, "Valid", "Invalid")</f>
        <v>Valid</v>
      </c>
      <c r="I375">
        <f>IF(COUNTIF(items_clean!$A:$A, D375)&gt;0, 1, 0)</f>
        <v>1</v>
      </c>
    </row>
    <row r="376" spans="1:9" x14ac:dyDescent="0.3">
      <c r="A376" s="1">
        <v>375</v>
      </c>
      <c r="B376" s="1" t="s">
        <v>547</v>
      </c>
      <c r="C376" s="4">
        <v>45338.420138888891</v>
      </c>
      <c r="D376" s="1" t="s">
        <v>102</v>
      </c>
      <c r="E376" s="3">
        <v>1</v>
      </c>
      <c r="F376" s="1" t="s">
        <v>436</v>
      </c>
      <c r="G376" s="1" t="s">
        <v>149</v>
      </c>
      <c r="H376" s="1" t="str">
        <f>IF(COUNTIF(items_clean!$A:$A, D376)&gt;0, "Valid", "Invalid")</f>
        <v>Valid</v>
      </c>
      <c r="I376">
        <f>IF(COUNTIF(items_clean!$A:$A, D376)&gt;0, 1, 0)</f>
        <v>1</v>
      </c>
    </row>
    <row r="377" spans="1:9" x14ac:dyDescent="0.3">
      <c r="A377" s="1">
        <v>376</v>
      </c>
      <c r="B377" s="1" t="s">
        <v>548</v>
      </c>
      <c r="C377" s="4">
        <v>45338.431250000001</v>
      </c>
      <c r="D377" s="1" t="s">
        <v>131</v>
      </c>
      <c r="E377" s="3">
        <v>1</v>
      </c>
      <c r="F377" s="1" t="s">
        <v>549</v>
      </c>
      <c r="G377" s="1" t="s">
        <v>146</v>
      </c>
      <c r="H377" s="1" t="str">
        <f>IF(COUNTIF(items_clean!$A:$A, D377)&gt;0, "Valid", "Invalid")</f>
        <v>Valid</v>
      </c>
      <c r="I377">
        <f>IF(COUNTIF(items_clean!$A:$A, D377)&gt;0, 1, 0)</f>
        <v>1</v>
      </c>
    </row>
    <row r="378" spans="1:9" x14ac:dyDescent="0.3">
      <c r="A378" s="1">
        <v>377</v>
      </c>
      <c r="B378" s="1" t="s">
        <v>550</v>
      </c>
      <c r="C378" s="4">
        <v>45338.443055555559</v>
      </c>
      <c r="D378" s="1" t="s">
        <v>111</v>
      </c>
      <c r="E378" s="3">
        <v>1</v>
      </c>
      <c r="F378" s="1" t="s">
        <v>551</v>
      </c>
      <c r="G378" s="1" t="s">
        <v>149</v>
      </c>
      <c r="H378" s="1" t="str">
        <f>IF(COUNTIF(items_clean!$A:$A, D378)&gt;0, "Valid", "Invalid")</f>
        <v>Valid</v>
      </c>
      <c r="I378">
        <f>IF(COUNTIF(items_clean!$A:$A, D378)&gt;0, 1, 0)</f>
        <v>1</v>
      </c>
    </row>
    <row r="379" spans="1:9" x14ac:dyDescent="0.3">
      <c r="A379" s="1">
        <v>378</v>
      </c>
      <c r="B379" s="1" t="s">
        <v>552</v>
      </c>
      <c r="C379" s="4">
        <v>45338.45416666667</v>
      </c>
      <c r="D379" s="1" t="s">
        <v>126</v>
      </c>
      <c r="E379" s="3">
        <v>1</v>
      </c>
      <c r="F379" s="1" t="s">
        <v>553</v>
      </c>
      <c r="G379" s="1" t="s">
        <v>146</v>
      </c>
      <c r="H379" s="1" t="str">
        <f>IF(COUNTIF(items_clean!$A:$A, D379)&gt;0, "Valid", "Invalid")</f>
        <v>Valid</v>
      </c>
      <c r="I379">
        <f>IF(COUNTIF(items_clean!$A:$A, D379)&gt;0, 1, 0)</f>
        <v>1</v>
      </c>
    </row>
    <row r="380" spans="1:9" x14ac:dyDescent="0.3">
      <c r="A380" s="1">
        <v>379</v>
      </c>
      <c r="B380" s="1" t="s">
        <v>552</v>
      </c>
      <c r="C380" s="4">
        <v>45338.45416666667</v>
      </c>
      <c r="D380" s="1" t="s">
        <v>278</v>
      </c>
      <c r="E380" s="3">
        <v>1</v>
      </c>
      <c r="F380" s="1" t="s">
        <v>553</v>
      </c>
      <c r="G380" s="1" t="s">
        <v>778</v>
      </c>
      <c r="H380" s="1" t="str">
        <f>IF(COUNTIF(items_clean!$A:$A, D380)&gt;0, "Valid", "Invalid")</f>
        <v>Invalid</v>
      </c>
      <c r="I380">
        <f>IF(COUNTIF(items_clean!$A:$A, D380)&gt;0, 1, 0)</f>
        <v>0</v>
      </c>
    </row>
    <row r="381" spans="1:9" x14ac:dyDescent="0.3">
      <c r="A381" s="1">
        <v>380</v>
      </c>
      <c r="B381" s="1" t="s">
        <v>554</v>
      </c>
      <c r="C381" s="4">
        <v>45338.465277777781</v>
      </c>
      <c r="D381" s="1" t="s">
        <v>118</v>
      </c>
      <c r="E381" s="3">
        <v>1</v>
      </c>
      <c r="F381" s="1" t="s">
        <v>555</v>
      </c>
      <c r="G381" s="1" t="s">
        <v>149</v>
      </c>
      <c r="H381" s="1" t="str">
        <f>IF(COUNTIF(items_clean!$A:$A, D381)&gt;0, "Valid", "Invalid")</f>
        <v>Valid</v>
      </c>
      <c r="I381">
        <f>IF(COUNTIF(items_clean!$A:$A, D381)&gt;0, 1, 0)</f>
        <v>1</v>
      </c>
    </row>
    <row r="382" spans="1:9" x14ac:dyDescent="0.3">
      <c r="A382" s="1">
        <v>381</v>
      </c>
      <c r="B382" s="1" t="s">
        <v>556</v>
      </c>
      <c r="C382" s="4">
        <v>45338.476388888892</v>
      </c>
      <c r="D382" s="1" t="s">
        <v>108</v>
      </c>
      <c r="E382" s="3">
        <v>1</v>
      </c>
      <c r="F382" s="1" t="s">
        <v>401</v>
      </c>
      <c r="G382" s="1" t="s">
        <v>146</v>
      </c>
      <c r="H382" s="1" t="str">
        <f>IF(COUNTIF(items_clean!$A:$A, D382)&gt;0, "Valid", "Invalid")</f>
        <v>Valid</v>
      </c>
      <c r="I382">
        <f>IF(COUNTIF(items_clean!$A:$A, D382)&gt;0, 1, 0)</f>
        <v>1</v>
      </c>
    </row>
    <row r="383" spans="1:9" x14ac:dyDescent="0.3">
      <c r="A383" s="1">
        <v>382</v>
      </c>
      <c r="B383" s="1" t="s">
        <v>557</v>
      </c>
      <c r="C383" s="4">
        <v>45338.488194444442</v>
      </c>
      <c r="D383" s="1" t="s">
        <v>138</v>
      </c>
      <c r="E383" s="3">
        <v>1</v>
      </c>
      <c r="F383" s="1" t="s">
        <v>558</v>
      </c>
      <c r="G383" s="1" t="s">
        <v>149</v>
      </c>
      <c r="H383" s="1" t="str">
        <f>IF(COUNTIF(items_clean!$A:$A, D383)&gt;0, "Valid", "Invalid")</f>
        <v>Valid</v>
      </c>
      <c r="I383">
        <f>IF(COUNTIF(items_clean!$A:$A, D383)&gt;0, 1, 0)</f>
        <v>1</v>
      </c>
    </row>
    <row r="384" spans="1:9" x14ac:dyDescent="0.3">
      <c r="A384" s="1">
        <v>383</v>
      </c>
      <c r="B384" s="1" t="s">
        <v>559</v>
      </c>
      <c r="C384" s="4">
        <v>45338.499305555553</v>
      </c>
      <c r="D384" s="1" t="s">
        <v>116</v>
      </c>
      <c r="E384" s="3">
        <v>1</v>
      </c>
      <c r="F384" s="1" t="s">
        <v>560</v>
      </c>
      <c r="G384" s="1" t="s">
        <v>146</v>
      </c>
      <c r="H384" s="1" t="str">
        <f>IF(COUNTIF(items_clean!$A:$A, D384)&gt;0, "Valid", "Invalid")</f>
        <v>Valid</v>
      </c>
      <c r="I384">
        <f>IF(COUNTIF(items_clean!$A:$A, D384)&gt;0, 1, 0)</f>
        <v>1</v>
      </c>
    </row>
    <row r="385" spans="1:9" x14ac:dyDescent="0.3">
      <c r="A385" s="1">
        <v>384</v>
      </c>
      <c r="B385" s="1" t="s">
        <v>561</v>
      </c>
      <c r="C385" s="4">
        <v>45338.504166666666</v>
      </c>
      <c r="D385" s="1" t="s">
        <v>134</v>
      </c>
      <c r="E385" s="3">
        <v>1</v>
      </c>
      <c r="F385" s="1" t="s">
        <v>562</v>
      </c>
      <c r="G385" s="1" t="s">
        <v>149</v>
      </c>
      <c r="H385" s="1" t="str">
        <f>IF(COUNTIF(items_clean!$A:$A, D385)&gt;0, "Valid", "Invalid")</f>
        <v>Valid</v>
      </c>
      <c r="I385">
        <f>IF(COUNTIF(items_clean!$A:$A, D385)&gt;0, 1, 0)</f>
        <v>1</v>
      </c>
    </row>
    <row r="386" spans="1:9" x14ac:dyDescent="0.3">
      <c r="A386" s="1">
        <v>385</v>
      </c>
      <c r="B386" s="1" t="s">
        <v>563</v>
      </c>
      <c r="C386" s="4">
        <v>45338.508333333331</v>
      </c>
      <c r="D386" s="1" t="s">
        <v>105</v>
      </c>
      <c r="E386" s="3">
        <v>1</v>
      </c>
      <c r="F386" s="1" t="s">
        <v>564</v>
      </c>
      <c r="G386" s="1" t="s">
        <v>146</v>
      </c>
      <c r="H386" s="1" t="str">
        <f>IF(COUNTIF(items_clean!$A:$A, D386)&gt;0, "Valid", "Invalid")</f>
        <v>Valid</v>
      </c>
      <c r="I386">
        <f>IF(COUNTIF(items_clean!$A:$A, D386)&gt;0, 1, 0)</f>
        <v>1</v>
      </c>
    </row>
    <row r="387" spans="1:9" x14ac:dyDescent="0.3">
      <c r="A387" s="1">
        <v>386</v>
      </c>
      <c r="B387" s="1" t="s">
        <v>565</v>
      </c>
      <c r="C387" s="4">
        <v>45338.513194444444</v>
      </c>
      <c r="D387" s="1" t="s">
        <v>113</v>
      </c>
      <c r="E387" s="3">
        <v>1</v>
      </c>
      <c r="F387" s="1" t="s">
        <v>566</v>
      </c>
      <c r="G387" s="1" t="s">
        <v>149</v>
      </c>
      <c r="H387" s="1" t="str">
        <f>IF(COUNTIF(items_clean!$A:$A, D387)&gt;0, "Valid", "Invalid")</f>
        <v>Valid</v>
      </c>
      <c r="I387">
        <f>IF(COUNTIF(items_clean!$A:$A, D387)&gt;0, 1, 0)</f>
        <v>1</v>
      </c>
    </row>
    <row r="388" spans="1:9" x14ac:dyDescent="0.3">
      <c r="A388" s="1">
        <v>387</v>
      </c>
      <c r="B388" s="1" t="s">
        <v>565</v>
      </c>
      <c r="C388" s="4">
        <v>45338.513194444444</v>
      </c>
      <c r="D388" s="1" t="s">
        <v>119</v>
      </c>
      <c r="E388" s="3">
        <v>1</v>
      </c>
      <c r="F388" s="1" t="s">
        <v>566</v>
      </c>
      <c r="G388" s="1" t="s">
        <v>778</v>
      </c>
      <c r="H388" s="1" t="str">
        <f>IF(COUNTIF(items_clean!$A:$A, D388)&gt;0, "Valid", "Invalid")</f>
        <v>Valid</v>
      </c>
      <c r="I388">
        <f>IF(COUNTIF(items_clean!$A:$A, D388)&gt;0, 1, 0)</f>
        <v>1</v>
      </c>
    </row>
    <row r="389" spans="1:9" x14ac:dyDescent="0.3">
      <c r="A389" s="1">
        <v>388</v>
      </c>
      <c r="B389" s="1" t="s">
        <v>567</v>
      </c>
      <c r="C389" s="4">
        <v>45338.517361111109</v>
      </c>
      <c r="D389" s="1" t="s">
        <v>128</v>
      </c>
      <c r="E389" s="3">
        <v>1</v>
      </c>
      <c r="F389" s="1" t="s">
        <v>568</v>
      </c>
      <c r="G389" s="1" t="s">
        <v>146</v>
      </c>
      <c r="H389" s="1" t="str">
        <f>IF(COUNTIF(items_clean!$A:$A, D389)&gt;0, "Valid", "Invalid")</f>
        <v>Valid</v>
      </c>
      <c r="I389">
        <f>IF(COUNTIF(items_clean!$A:$A, D389)&gt;0, 1, 0)</f>
        <v>1</v>
      </c>
    </row>
    <row r="390" spans="1:9" x14ac:dyDescent="0.3">
      <c r="A390" s="1">
        <v>389</v>
      </c>
      <c r="B390" s="1" t="s">
        <v>569</v>
      </c>
      <c r="C390" s="4">
        <v>45338.522222222222</v>
      </c>
      <c r="D390" s="1" t="s">
        <v>96</v>
      </c>
      <c r="E390" s="3">
        <v>1</v>
      </c>
      <c r="F390" s="1" t="s">
        <v>457</v>
      </c>
      <c r="G390" s="1" t="s">
        <v>149</v>
      </c>
      <c r="H390" s="1" t="str">
        <f>IF(COUNTIF(items_clean!$A:$A, D390)&gt;0, "Valid", "Invalid")</f>
        <v>Valid</v>
      </c>
      <c r="I390">
        <f>IF(COUNTIF(items_clean!$A:$A, D390)&gt;0, 1, 0)</f>
        <v>1</v>
      </c>
    </row>
    <row r="391" spans="1:9" x14ac:dyDescent="0.3">
      <c r="A391" s="1">
        <v>390</v>
      </c>
      <c r="B391" s="1" t="s">
        <v>570</v>
      </c>
      <c r="C391" s="4">
        <v>45338.526388888888</v>
      </c>
      <c r="D391" s="1" t="s">
        <v>272</v>
      </c>
      <c r="E391" s="3">
        <v>1</v>
      </c>
      <c r="F391" s="1" t="s">
        <v>571</v>
      </c>
      <c r="G391" s="1" t="s">
        <v>146</v>
      </c>
      <c r="H391" s="1" t="str">
        <f>IF(COUNTIF(items_clean!$A:$A, D391)&gt;0, "Valid", "Invalid")</f>
        <v>Invalid</v>
      </c>
      <c r="I391">
        <f>IF(COUNTIF(items_clean!$A:$A, D391)&gt;0, 1, 0)</f>
        <v>0</v>
      </c>
    </row>
    <row r="392" spans="1:9" x14ac:dyDescent="0.3">
      <c r="A392" s="1">
        <v>391</v>
      </c>
      <c r="B392" s="1" t="s">
        <v>572</v>
      </c>
      <c r="C392" s="4">
        <v>45338.53125</v>
      </c>
      <c r="D392" s="1" t="s">
        <v>104</v>
      </c>
      <c r="E392" s="3">
        <v>1</v>
      </c>
      <c r="F392" s="1" t="s">
        <v>419</v>
      </c>
      <c r="G392" s="1" t="s">
        <v>149</v>
      </c>
      <c r="H392" s="1" t="str">
        <f>IF(COUNTIF(items_clean!$A:$A, D392)&gt;0, "Valid", "Invalid")</f>
        <v>Valid</v>
      </c>
      <c r="I392">
        <f>IF(COUNTIF(items_clean!$A:$A, D392)&gt;0, 1, 0)</f>
        <v>1</v>
      </c>
    </row>
    <row r="393" spans="1:9" x14ac:dyDescent="0.3">
      <c r="A393" s="1">
        <v>392</v>
      </c>
      <c r="B393" s="1" t="s">
        <v>573</v>
      </c>
      <c r="C393" s="4">
        <v>45338.535416666666</v>
      </c>
      <c r="D393" s="1" t="s">
        <v>115</v>
      </c>
      <c r="E393" s="3">
        <v>1</v>
      </c>
      <c r="F393" s="1" t="s">
        <v>574</v>
      </c>
      <c r="G393" s="1" t="s">
        <v>146</v>
      </c>
      <c r="H393" s="1" t="str">
        <f>IF(COUNTIF(items_clean!$A:$A, D393)&gt;0, "Valid", "Invalid")</f>
        <v>Valid</v>
      </c>
      <c r="I393">
        <f>IF(COUNTIF(items_clean!$A:$A, D393)&gt;0, 1, 0)</f>
        <v>1</v>
      </c>
    </row>
    <row r="394" spans="1:9" x14ac:dyDescent="0.3">
      <c r="A394" s="1">
        <v>393</v>
      </c>
      <c r="B394" s="1" t="s">
        <v>575</v>
      </c>
      <c r="C394" s="4">
        <v>45338.540277777778</v>
      </c>
      <c r="D394" s="1" t="s">
        <v>126</v>
      </c>
      <c r="E394" s="3">
        <v>1</v>
      </c>
      <c r="F394" s="1" t="s">
        <v>163</v>
      </c>
      <c r="G394" s="1" t="s">
        <v>149</v>
      </c>
      <c r="H394" s="1" t="str">
        <f>IF(COUNTIF(items_clean!$A:$A, D394)&gt;0, "Valid", "Invalid")</f>
        <v>Valid</v>
      </c>
      <c r="I394">
        <f>IF(COUNTIF(items_clean!$A:$A, D394)&gt;0, 1, 0)</f>
        <v>1</v>
      </c>
    </row>
    <row r="395" spans="1:9" x14ac:dyDescent="0.3">
      <c r="A395" s="1">
        <v>394</v>
      </c>
      <c r="B395" s="1" t="s">
        <v>575</v>
      </c>
      <c r="C395" s="4">
        <v>45338.540277777778</v>
      </c>
      <c r="D395" s="1" t="s">
        <v>135</v>
      </c>
      <c r="E395" s="3">
        <v>1</v>
      </c>
      <c r="F395" s="1" t="s">
        <v>163</v>
      </c>
      <c r="G395" s="1" t="s">
        <v>778</v>
      </c>
      <c r="H395" s="1" t="str">
        <f>IF(COUNTIF(items_clean!$A:$A, D395)&gt;0, "Valid", "Invalid")</f>
        <v>Valid</v>
      </c>
      <c r="I395">
        <f>IF(COUNTIF(items_clean!$A:$A, D395)&gt;0, 1, 0)</f>
        <v>1</v>
      </c>
    </row>
    <row r="396" spans="1:9" x14ac:dyDescent="0.3">
      <c r="A396" s="1">
        <v>395</v>
      </c>
      <c r="B396" s="1" t="s">
        <v>576</v>
      </c>
      <c r="C396" s="4">
        <v>45338.544444444444</v>
      </c>
      <c r="D396" s="1" t="s">
        <v>108</v>
      </c>
      <c r="E396" s="3">
        <v>1</v>
      </c>
      <c r="F396" s="1" t="s">
        <v>577</v>
      </c>
      <c r="G396" s="1" t="s">
        <v>146</v>
      </c>
      <c r="H396" s="1" t="str">
        <f>IF(COUNTIF(items_clean!$A:$A, D396)&gt;0, "Valid", "Invalid")</f>
        <v>Valid</v>
      </c>
      <c r="I396">
        <f>IF(COUNTIF(items_clean!$A:$A, D396)&gt;0, 1, 0)</f>
        <v>1</v>
      </c>
    </row>
    <row r="397" spans="1:9" x14ac:dyDescent="0.3">
      <c r="A397" s="1">
        <v>396</v>
      </c>
      <c r="B397" s="1" t="s">
        <v>578</v>
      </c>
      <c r="C397" s="4">
        <v>45338.549305555556</v>
      </c>
      <c r="D397" s="1" t="s">
        <v>121</v>
      </c>
      <c r="E397" s="3">
        <v>1</v>
      </c>
      <c r="F397" s="1" t="s">
        <v>510</v>
      </c>
      <c r="G397" s="1" t="s">
        <v>149</v>
      </c>
      <c r="H397" s="1" t="str">
        <f>IF(COUNTIF(items_clean!$A:$A, D397)&gt;0, "Valid", "Invalid")</f>
        <v>Valid</v>
      </c>
      <c r="I397">
        <f>IF(COUNTIF(items_clean!$A:$A, D397)&gt;0, 1, 0)</f>
        <v>1</v>
      </c>
    </row>
    <row r="398" spans="1:9" x14ac:dyDescent="0.3">
      <c r="A398" s="1">
        <v>397</v>
      </c>
      <c r="B398" s="1" t="s">
        <v>579</v>
      </c>
      <c r="C398" s="4">
        <v>45338.553472222222</v>
      </c>
      <c r="D398" s="1" t="s">
        <v>265</v>
      </c>
      <c r="E398" s="3">
        <v>1</v>
      </c>
      <c r="F398" s="1" t="s">
        <v>580</v>
      </c>
      <c r="G398" s="1" t="s">
        <v>146</v>
      </c>
      <c r="H398" s="1" t="str">
        <f>IF(COUNTIF(items_clean!$A:$A, D398)&gt;0, "Valid", "Invalid")</f>
        <v>Invalid</v>
      </c>
      <c r="I398">
        <f>IF(COUNTIF(items_clean!$A:$A, D398)&gt;0, 1, 0)</f>
        <v>0</v>
      </c>
    </row>
    <row r="399" spans="1:9" x14ac:dyDescent="0.3">
      <c r="A399" s="1">
        <v>398</v>
      </c>
      <c r="B399" s="1" t="s">
        <v>581</v>
      </c>
      <c r="C399" s="4">
        <v>45338.558333333334</v>
      </c>
      <c r="D399" s="1" t="s">
        <v>111</v>
      </c>
      <c r="E399" s="3">
        <v>1</v>
      </c>
      <c r="F399" s="1" t="s">
        <v>539</v>
      </c>
      <c r="G399" s="1" t="s">
        <v>149</v>
      </c>
      <c r="H399" s="1" t="str">
        <f>IF(COUNTIF(items_clean!$A:$A, D399)&gt;0, "Valid", "Invalid")</f>
        <v>Valid</v>
      </c>
      <c r="I399">
        <f>IF(COUNTIF(items_clean!$A:$A, D399)&gt;0, 1, 0)</f>
        <v>1</v>
      </c>
    </row>
    <row r="400" spans="1:9" x14ac:dyDescent="0.3">
      <c r="A400" s="1">
        <v>399</v>
      </c>
      <c r="B400" s="1" t="s">
        <v>582</v>
      </c>
      <c r="C400" s="4">
        <v>45338.5625</v>
      </c>
      <c r="D400" s="1" t="s">
        <v>131</v>
      </c>
      <c r="E400" s="3">
        <v>1</v>
      </c>
      <c r="F400" s="1" t="s">
        <v>583</v>
      </c>
      <c r="G400" s="1" t="s">
        <v>146</v>
      </c>
      <c r="H400" s="1" t="str">
        <f>IF(COUNTIF(items_clean!$A:$A, D400)&gt;0, "Valid", "Invalid")</f>
        <v>Valid</v>
      </c>
      <c r="I400">
        <f>IF(COUNTIF(items_clean!$A:$A, D400)&gt;0, 1, 0)</f>
        <v>1</v>
      </c>
    </row>
    <row r="401" spans="1:9" x14ac:dyDescent="0.3">
      <c r="A401" s="1">
        <v>400</v>
      </c>
      <c r="B401" s="1" t="s">
        <v>584</v>
      </c>
      <c r="C401" s="4">
        <v>45338.567361111112</v>
      </c>
      <c r="D401" s="1" t="s">
        <v>118</v>
      </c>
      <c r="E401" s="3">
        <v>1</v>
      </c>
      <c r="F401" s="1" t="s">
        <v>434</v>
      </c>
      <c r="G401" s="1" t="s">
        <v>149</v>
      </c>
      <c r="H401" s="1" t="str">
        <f>IF(COUNTIF(items_clean!$A:$A, D401)&gt;0, "Valid", "Invalid")</f>
        <v>Valid</v>
      </c>
      <c r="I401">
        <f>IF(COUNTIF(items_clean!$A:$A, D401)&gt;0, 1, 0)</f>
        <v>1</v>
      </c>
    </row>
    <row r="402" spans="1:9" x14ac:dyDescent="0.3">
      <c r="A402" s="1">
        <v>401</v>
      </c>
      <c r="B402" s="1" t="s">
        <v>585</v>
      </c>
      <c r="C402" s="4">
        <v>45338.571527777778</v>
      </c>
      <c r="D402" s="1" t="s">
        <v>129</v>
      </c>
      <c r="E402" s="3">
        <v>1</v>
      </c>
      <c r="F402" s="1" t="s">
        <v>586</v>
      </c>
      <c r="G402" s="1" t="s">
        <v>146</v>
      </c>
      <c r="H402" s="1" t="str">
        <f>IF(COUNTIF(items_clean!$A:$A, D402)&gt;0, "Valid", "Invalid")</f>
        <v>Valid</v>
      </c>
      <c r="I402">
        <f>IF(COUNTIF(items_clean!$A:$A, D402)&gt;0, 1, 0)</f>
        <v>1</v>
      </c>
    </row>
    <row r="403" spans="1:9" x14ac:dyDescent="0.3">
      <c r="A403" s="1">
        <v>402</v>
      </c>
      <c r="B403" s="1" t="s">
        <v>587</v>
      </c>
      <c r="C403" s="4">
        <v>45338.576388888891</v>
      </c>
      <c r="D403" s="1" t="s">
        <v>102</v>
      </c>
      <c r="E403" s="3">
        <v>1</v>
      </c>
      <c r="F403" s="1" t="s">
        <v>474</v>
      </c>
      <c r="G403" s="1" t="s">
        <v>149</v>
      </c>
      <c r="H403" s="1" t="str">
        <f>IF(COUNTIF(items_clean!$A:$A, D403)&gt;0, "Valid", "Invalid")</f>
        <v>Valid</v>
      </c>
      <c r="I403">
        <f>IF(COUNTIF(items_clean!$A:$A, D403)&gt;0, 1, 0)</f>
        <v>1</v>
      </c>
    </row>
    <row r="404" spans="1:9" x14ac:dyDescent="0.3">
      <c r="A404" s="1">
        <v>403</v>
      </c>
      <c r="B404" s="1" t="s">
        <v>588</v>
      </c>
      <c r="C404" s="4">
        <v>45338.580555555556</v>
      </c>
      <c r="D404" s="1" t="s">
        <v>110</v>
      </c>
      <c r="E404" s="3">
        <v>1</v>
      </c>
      <c r="F404" s="1" t="s">
        <v>546</v>
      </c>
      <c r="G404" s="1" t="s">
        <v>146</v>
      </c>
      <c r="H404" s="1" t="str">
        <f>IF(COUNTIF(items_clean!$A:$A, D404)&gt;0, "Valid", "Invalid")</f>
        <v>Valid</v>
      </c>
      <c r="I404">
        <f>IF(COUNTIF(items_clean!$A:$A, D404)&gt;0, 1, 0)</f>
        <v>1</v>
      </c>
    </row>
    <row r="405" spans="1:9" x14ac:dyDescent="0.3">
      <c r="A405" s="1">
        <v>404</v>
      </c>
      <c r="B405" s="1" t="s">
        <v>589</v>
      </c>
      <c r="C405" s="4">
        <v>45338.585416666669</v>
      </c>
      <c r="D405" s="1" t="s">
        <v>122</v>
      </c>
      <c r="E405" s="3">
        <v>1</v>
      </c>
      <c r="F405" s="1" t="s">
        <v>590</v>
      </c>
      <c r="G405" s="1" t="s">
        <v>149</v>
      </c>
      <c r="H405" s="1" t="str">
        <f>IF(COUNTIF(items_clean!$A:$A, D405)&gt;0, "Valid", "Invalid")</f>
        <v>Valid</v>
      </c>
      <c r="I405">
        <f>IF(COUNTIF(items_clean!$A:$A, D405)&gt;0, 1, 0)</f>
        <v>1</v>
      </c>
    </row>
    <row r="406" spans="1:9" x14ac:dyDescent="0.3">
      <c r="A406" s="1">
        <v>405</v>
      </c>
      <c r="B406" s="1" t="s">
        <v>589</v>
      </c>
      <c r="C406" s="4">
        <v>45338.585416666669</v>
      </c>
      <c r="D406" s="1" t="s">
        <v>138</v>
      </c>
      <c r="E406" s="3">
        <v>1</v>
      </c>
      <c r="F406" s="1" t="s">
        <v>590</v>
      </c>
      <c r="G406" s="1" t="s">
        <v>778</v>
      </c>
      <c r="H406" s="1" t="str">
        <f>IF(COUNTIF(items_clean!$A:$A, D406)&gt;0, "Valid", "Invalid")</f>
        <v>Valid</v>
      </c>
      <c r="I406">
        <f>IF(COUNTIF(items_clean!$A:$A, D406)&gt;0, 1, 0)</f>
        <v>1</v>
      </c>
    </row>
    <row r="407" spans="1:9" x14ac:dyDescent="0.3">
      <c r="A407" s="1">
        <v>406</v>
      </c>
      <c r="B407" s="1" t="s">
        <v>591</v>
      </c>
      <c r="C407" s="4">
        <v>45338.589583333334</v>
      </c>
      <c r="D407" s="1" t="s">
        <v>100</v>
      </c>
      <c r="E407" s="3">
        <v>1</v>
      </c>
      <c r="F407" s="1" t="s">
        <v>480</v>
      </c>
      <c r="G407" s="1" t="s">
        <v>146</v>
      </c>
      <c r="H407" s="1" t="str">
        <f>IF(COUNTIF(items_clean!$A:$A, D407)&gt;0, "Valid", "Invalid")</f>
        <v>Valid</v>
      </c>
      <c r="I407">
        <f>IF(COUNTIF(items_clean!$A:$A, D407)&gt;0, 1, 0)</f>
        <v>1</v>
      </c>
    </row>
    <row r="408" spans="1:9" x14ac:dyDescent="0.3">
      <c r="A408" s="1">
        <v>407</v>
      </c>
      <c r="B408" s="1" t="s">
        <v>592</v>
      </c>
      <c r="C408" s="4">
        <v>45338.594444444447</v>
      </c>
      <c r="D408" s="1" t="s">
        <v>132</v>
      </c>
      <c r="E408" s="3">
        <v>1</v>
      </c>
      <c r="F408" s="1" t="s">
        <v>482</v>
      </c>
      <c r="G408" s="1" t="s">
        <v>149</v>
      </c>
      <c r="H408" s="1" t="str">
        <f>IF(COUNTIF(items_clean!$A:$A, D408)&gt;0, "Valid", "Invalid")</f>
        <v>Valid</v>
      </c>
      <c r="I408">
        <f>IF(COUNTIF(items_clean!$A:$A, D408)&gt;0, 1, 0)</f>
        <v>1</v>
      </c>
    </row>
    <row r="409" spans="1:9" x14ac:dyDescent="0.3">
      <c r="A409" s="1">
        <v>408</v>
      </c>
      <c r="B409" s="1" t="s">
        <v>593</v>
      </c>
      <c r="C409" s="4">
        <v>45338.598611111112</v>
      </c>
      <c r="D409" s="1" t="s">
        <v>116</v>
      </c>
      <c r="E409" s="3">
        <v>1</v>
      </c>
      <c r="F409" s="1" t="s">
        <v>484</v>
      </c>
      <c r="G409" s="1" t="s">
        <v>146</v>
      </c>
      <c r="H409" s="1" t="str">
        <f>IF(COUNTIF(items_clean!$A:$A, D409)&gt;0, "Valid", "Invalid")</f>
        <v>Valid</v>
      </c>
      <c r="I409">
        <f>IF(COUNTIF(items_clean!$A:$A, D409)&gt;0, 1, 0)</f>
        <v>1</v>
      </c>
    </row>
    <row r="410" spans="1:9" x14ac:dyDescent="0.3">
      <c r="A410" s="1">
        <v>409</v>
      </c>
      <c r="B410" s="1" t="s">
        <v>594</v>
      </c>
      <c r="C410" s="4">
        <v>45338.603472222225</v>
      </c>
      <c r="D410" s="1" t="s">
        <v>254</v>
      </c>
      <c r="E410" s="3">
        <v>1</v>
      </c>
      <c r="F410" s="1" t="s">
        <v>486</v>
      </c>
      <c r="G410" s="1" t="s">
        <v>149</v>
      </c>
      <c r="H410" s="1" t="str">
        <f>IF(COUNTIF(items_clean!$A:$A, D410)&gt;0, "Valid", "Invalid")</f>
        <v>Invalid</v>
      </c>
      <c r="I410">
        <f>IF(COUNTIF(items_clean!$A:$A, D410)&gt;0, 1, 0)</f>
        <v>0</v>
      </c>
    </row>
    <row r="411" spans="1:9" x14ac:dyDescent="0.3">
      <c r="A411" s="1">
        <v>410</v>
      </c>
      <c r="B411" s="1" t="s">
        <v>595</v>
      </c>
      <c r="C411" s="4">
        <v>45338.607638888891</v>
      </c>
      <c r="D411" s="1" t="s">
        <v>125</v>
      </c>
      <c r="E411" s="3">
        <v>1</v>
      </c>
      <c r="F411" s="1" t="s">
        <v>596</v>
      </c>
      <c r="G411" s="1" t="s">
        <v>146</v>
      </c>
      <c r="H411" s="1" t="str">
        <f>IF(COUNTIF(items_clean!$A:$A, D411)&gt;0, "Valid", "Invalid")</f>
        <v>Valid</v>
      </c>
      <c r="I411">
        <f>IF(COUNTIF(items_clean!$A:$A, D411)&gt;0, 1, 0)</f>
        <v>1</v>
      </c>
    </row>
    <row r="412" spans="1:9" x14ac:dyDescent="0.3">
      <c r="A412" s="1">
        <v>411</v>
      </c>
      <c r="B412" s="1" t="s">
        <v>597</v>
      </c>
      <c r="C412" s="4">
        <v>45338.612500000003</v>
      </c>
      <c r="D412" s="1" t="s">
        <v>105</v>
      </c>
      <c r="E412" s="3">
        <v>1</v>
      </c>
      <c r="F412" s="1" t="s">
        <v>598</v>
      </c>
      <c r="G412" s="1" t="s">
        <v>149</v>
      </c>
      <c r="H412" s="1" t="str">
        <f>IF(COUNTIF(items_clean!$A:$A, D412)&gt;0, "Valid", "Invalid")</f>
        <v>Valid</v>
      </c>
      <c r="I412">
        <f>IF(COUNTIF(items_clean!$A:$A, D412)&gt;0, 1, 0)</f>
        <v>1</v>
      </c>
    </row>
    <row r="413" spans="1:9" x14ac:dyDescent="0.3">
      <c r="A413" s="1">
        <v>412</v>
      </c>
      <c r="B413" s="1" t="s">
        <v>599</v>
      </c>
      <c r="C413" s="4">
        <v>45338.616666666669</v>
      </c>
      <c r="D413" s="1" t="s">
        <v>134</v>
      </c>
      <c r="E413" s="3">
        <v>1</v>
      </c>
      <c r="F413" s="1" t="s">
        <v>600</v>
      </c>
      <c r="G413" s="1" t="s">
        <v>146</v>
      </c>
      <c r="H413" s="1" t="str">
        <f>IF(COUNTIF(items_clean!$A:$A, D413)&gt;0, "Valid", "Invalid")</f>
        <v>Valid</v>
      </c>
      <c r="I413">
        <f>IF(COUNTIF(items_clean!$A:$A, D413)&gt;0, 1, 0)</f>
        <v>1</v>
      </c>
    </row>
    <row r="414" spans="1:9" x14ac:dyDescent="0.3">
      <c r="A414" s="1">
        <v>413</v>
      </c>
      <c r="B414" s="1" t="s">
        <v>601</v>
      </c>
      <c r="C414" s="4">
        <v>45338.621527777781</v>
      </c>
      <c r="D414" s="1" t="s">
        <v>113</v>
      </c>
      <c r="E414" s="3">
        <v>1</v>
      </c>
      <c r="F414" s="1" t="s">
        <v>602</v>
      </c>
      <c r="G414" s="1" t="s">
        <v>149</v>
      </c>
      <c r="H414" s="1" t="str">
        <f>IF(COUNTIF(items_clean!$A:$A, D414)&gt;0, "Valid", "Invalid")</f>
        <v>Valid</v>
      </c>
      <c r="I414">
        <f>IF(COUNTIF(items_clean!$A:$A, D414)&gt;0, 1, 0)</f>
        <v>1</v>
      </c>
    </row>
    <row r="415" spans="1:9" x14ac:dyDescent="0.3">
      <c r="A415" s="1">
        <v>414</v>
      </c>
      <c r="B415" s="1" t="s">
        <v>603</v>
      </c>
      <c r="C415" s="4">
        <v>45338.625694444447</v>
      </c>
      <c r="D415" s="1" t="s">
        <v>278</v>
      </c>
      <c r="E415" s="3">
        <v>1</v>
      </c>
      <c r="F415" s="1" t="s">
        <v>604</v>
      </c>
      <c r="G415" s="1" t="s">
        <v>146</v>
      </c>
      <c r="H415" s="1" t="str">
        <f>IF(COUNTIF(items_clean!$A:$A, D415)&gt;0, "Valid", "Invalid")</f>
        <v>Invalid</v>
      </c>
      <c r="I415">
        <f>IF(COUNTIF(items_clean!$A:$A, D415)&gt;0, 1, 0)</f>
        <v>0</v>
      </c>
    </row>
    <row r="416" spans="1:9" x14ac:dyDescent="0.3">
      <c r="A416" s="1">
        <v>415</v>
      </c>
      <c r="B416" s="1" t="s">
        <v>605</v>
      </c>
      <c r="C416" s="4">
        <v>45338.630555555559</v>
      </c>
      <c r="D416" s="1" t="s">
        <v>128</v>
      </c>
      <c r="E416" s="3">
        <v>1</v>
      </c>
      <c r="F416" s="1" t="s">
        <v>606</v>
      </c>
      <c r="G416" s="1" t="s">
        <v>149</v>
      </c>
      <c r="H416" s="1" t="str">
        <f>IF(COUNTIF(items_clean!$A:$A, D416)&gt;0, "Valid", "Invalid")</f>
        <v>Valid</v>
      </c>
      <c r="I416">
        <f>IF(COUNTIF(items_clean!$A:$A, D416)&gt;0, 1, 0)</f>
        <v>1</v>
      </c>
    </row>
    <row r="417" spans="1:9" x14ac:dyDescent="0.3">
      <c r="A417" s="1">
        <v>416</v>
      </c>
      <c r="B417" s="1" t="s">
        <v>607</v>
      </c>
      <c r="C417" s="4">
        <v>45338.634722222225</v>
      </c>
      <c r="D417" s="1" t="s">
        <v>102</v>
      </c>
      <c r="E417" s="3">
        <v>1</v>
      </c>
      <c r="F417" s="1" t="s">
        <v>608</v>
      </c>
      <c r="G417" s="1" t="s">
        <v>146</v>
      </c>
      <c r="H417" s="1" t="str">
        <f>IF(COUNTIF(items_clean!$A:$A, D417)&gt;0, "Valid", "Invalid")</f>
        <v>Valid</v>
      </c>
      <c r="I417">
        <f>IF(COUNTIF(items_clean!$A:$A, D417)&gt;0, 1, 0)</f>
        <v>1</v>
      </c>
    </row>
    <row r="418" spans="1:9" x14ac:dyDescent="0.3">
      <c r="A418" s="1">
        <v>417</v>
      </c>
      <c r="B418" s="1" t="s">
        <v>609</v>
      </c>
      <c r="C418" s="4">
        <v>45338.63958333333</v>
      </c>
      <c r="D418" s="1" t="s">
        <v>121</v>
      </c>
      <c r="E418" s="3">
        <v>1</v>
      </c>
      <c r="F418" s="1" t="s">
        <v>610</v>
      </c>
      <c r="G418" s="1" t="s">
        <v>149</v>
      </c>
      <c r="H418" s="1" t="str">
        <f>IF(COUNTIF(items_clean!$A:$A, D418)&gt;0, "Valid", "Invalid")</f>
        <v>Valid</v>
      </c>
      <c r="I418">
        <f>IF(COUNTIF(items_clean!$A:$A, D418)&gt;0, 1, 0)</f>
        <v>1</v>
      </c>
    </row>
    <row r="419" spans="1:9" x14ac:dyDescent="0.3">
      <c r="A419" s="1">
        <v>418</v>
      </c>
      <c r="B419" s="1" t="s">
        <v>611</v>
      </c>
      <c r="C419" s="4">
        <v>45338.648611111108</v>
      </c>
      <c r="D419" s="1" t="s">
        <v>134</v>
      </c>
      <c r="E419" s="3">
        <v>1</v>
      </c>
      <c r="F419" s="1" t="s">
        <v>407</v>
      </c>
      <c r="G419" s="1" t="s">
        <v>146</v>
      </c>
      <c r="H419" s="1" t="str">
        <f>IF(COUNTIF(items_clean!$A:$A, D419)&gt;0, "Valid", "Invalid")</f>
        <v>Valid</v>
      </c>
      <c r="I419">
        <f>IF(COUNTIF(items_clean!$A:$A, D419)&gt;0, 1, 0)</f>
        <v>1</v>
      </c>
    </row>
    <row r="420" spans="1:9" x14ac:dyDescent="0.3">
      <c r="A420" s="1">
        <v>419</v>
      </c>
      <c r="B420" s="1" t="s">
        <v>612</v>
      </c>
      <c r="C420" s="4">
        <v>45338.662499999999</v>
      </c>
      <c r="D420" s="1" t="s">
        <v>113</v>
      </c>
      <c r="E420" s="3">
        <v>1</v>
      </c>
      <c r="F420" s="1" t="s">
        <v>613</v>
      </c>
      <c r="G420" s="1" t="s">
        <v>149</v>
      </c>
      <c r="H420" s="1" t="str">
        <f>IF(COUNTIF(items_clean!$A:$A, D420)&gt;0, "Valid", "Invalid")</f>
        <v>Valid</v>
      </c>
      <c r="I420">
        <f>IF(COUNTIF(items_clean!$A:$A, D420)&gt;0, 1, 0)</f>
        <v>1</v>
      </c>
    </row>
    <row r="421" spans="1:9" x14ac:dyDescent="0.3">
      <c r="A421" s="1">
        <v>420</v>
      </c>
      <c r="B421" s="1" t="s">
        <v>614</v>
      </c>
      <c r="C421" s="4">
        <v>45338.676388888889</v>
      </c>
      <c r="D421" s="1" t="s">
        <v>105</v>
      </c>
      <c r="E421" s="3">
        <v>1</v>
      </c>
      <c r="F421" s="1" t="s">
        <v>615</v>
      </c>
      <c r="G421" s="1" t="s">
        <v>146</v>
      </c>
      <c r="H421" s="1" t="str">
        <f>IF(COUNTIF(items_clean!$A:$A, D421)&gt;0, "Valid", "Invalid")</f>
        <v>Valid</v>
      </c>
      <c r="I421">
        <f>IF(COUNTIF(items_clean!$A:$A, D421)&gt;0, 1, 0)</f>
        <v>1</v>
      </c>
    </row>
    <row r="422" spans="1:9" x14ac:dyDescent="0.3">
      <c r="A422" s="1">
        <v>421</v>
      </c>
      <c r="B422" s="1" t="s">
        <v>616</v>
      </c>
      <c r="C422" s="4">
        <v>45338.69027777778</v>
      </c>
      <c r="D422" s="1" t="s">
        <v>128</v>
      </c>
      <c r="E422" s="3">
        <v>1</v>
      </c>
      <c r="F422" s="1" t="s">
        <v>617</v>
      </c>
      <c r="G422" s="1" t="s">
        <v>149</v>
      </c>
      <c r="H422" s="1" t="str">
        <f>IF(COUNTIF(items_clean!$A:$A, D422)&gt;0, "Valid", "Invalid")</f>
        <v>Valid</v>
      </c>
      <c r="I422">
        <f>IF(COUNTIF(items_clean!$A:$A, D422)&gt;0, 1, 0)</f>
        <v>1</v>
      </c>
    </row>
    <row r="423" spans="1:9" x14ac:dyDescent="0.3">
      <c r="A423" s="1">
        <v>422</v>
      </c>
      <c r="B423" s="1" t="s">
        <v>618</v>
      </c>
      <c r="C423" s="4">
        <v>45338.70416666667</v>
      </c>
      <c r="D423" s="1" t="s">
        <v>96</v>
      </c>
      <c r="E423" s="3">
        <v>1</v>
      </c>
      <c r="F423" s="1" t="s">
        <v>619</v>
      </c>
      <c r="G423" s="1" t="s">
        <v>146</v>
      </c>
      <c r="H423" s="1" t="str">
        <f>IF(COUNTIF(items_clean!$A:$A, D423)&gt;0, "Valid", "Invalid")</f>
        <v>Valid</v>
      </c>
      <c r="I423">
        <f>IF(COUNTIF(items_clean!$A:$A, D423)&gt;0, 1, 0)</f>
        <v>1</v>
      </c>
    </row>
    <row r="424" spans="1:9" x14ac:dyDescent="0.3">
      <c r="A424" s="1">
        <v>423</v>
      </c>
      <c r="B424" s="1" t="s">
        <v>620</v>
      </c>
      <c r="C424" s="4">
        <v>45338.708333333336</v>
      </c>
      <c r="D424" s="1" t="s">
        <v>121</v>
      </c>
      <c r="E424" s="3">
        <v>1</v>
      </c>
      <c r="F424" s="1" t="s">
        <v>531</v>
      </c>
      <c r="G424" s="1" t="s">
        <v>149</v>
      </c>
      <c r="H424" s="1" t="str">
        <f>IF(COUNTIF(items_clean!$A:$A, D424)&gt;0, "Valid", "Invalid")</f>
        <v>Valid</v>
      </c>
      <c r="I424">
        <f>IF(COUNTIF(items_clean!$A:$A, D424)&gt;0, 1, 0)</f>
        <v>1</v>
      </c>
    </row>
    <row r="425" spans="1:9" x14ac:dyDescent="0.3">
      <c r="A425" s="1">
        <v>424</v>
      </c>
      <c r="B425" s="1" t="s">
        <v>621</v>
      </c>
      <c r="C425" s="4">
        <v>45339.293749999997</v>
      </c>
      <c r="D425" s="1" t="s">
        <v>96</v>
      </c>
      <c r="E425" s="3">
        <v>1</v>
      </c>
      <c r="F425" s="1" t="s">
        <v>622</v>
      </c>
      <c r="G425" s="1" t="s">
        <v>149</v>
      </c>
      <c r="H425" s="1" t="str">
        <f>IF(COUNTIF(items_clean!$A:$A, D425)&gt;0, "Valid", "Invalid")</f>
        <v>Valid</v>
      </c>
      <c r="I425">
        <f>IF(COUNTIF(items_clean!$A:$A, D425)&gt;0, 1, 0)</f>
        <v>1</v>
      </c>
    </row>
    <row r="426" spans="1:9" x14ac:dyDescent="0.3">
      <c r="A426" s="1">
        <v>425</v>
      </c>
      <c r="B426" s="1" t="s">
        <v>623</v>
      </c>
      <c r="C426" s="4">
        <v>45339.297222222223</v>
      </c>
      <c r="D426" s="1" t="s">
        <v>126</v>
      </c>
      <c r="E426" s="3">
        <v>1</v>
      </c>
      <c r="F426" s="1" t="s">
        <v>624</v>
      </c>
      <c r="G426" s="1" t="s">
        <v>146</v>
      </c>
      <c r="H426" s="1" t="str">
        <f>IF(COUNTIF(items_clean!$A:$A, D426)&gt;0, "Valid", "Invalid")</f>
        <v>Valid</v>
      </c>
      <c r="I426">
        <f>IF(COUNTIF(items_clean!$A:$A, D426)&gt;0, 1, 0)</f>
        <v>1</v>
      </c>
    </row>
    <row r="427" spans="1:9" x14ac:dyDescent="0.3">
      <c r="A427" s="1">
        <v>426</v>
      </c>
      <c r="B427" s="1" t="s">
        <v>623</v>
      </c>
      <c r="C427" s="4">
        <v>45339.297222222223</v>
      </c>
      <c r="D427" s="1" t="s">
        <v>135</v>
      </c>
      <c r="E427" s="3">
        <v>1</v>
      </c>
      <c r="F427" s="1" t="s">
        <v>624</v>
      </c>
      <c r="G427" s="1" t="s">
        <v>778</v>
      </c>
      <c r="H427" s="1" t="str">
        <f>IF(COUNTIF(items_clean!$A:$A, D427)&gt;0, "Valid", "Invalid")</f>
        <v>Valid</v>
      </c>
      <c r="I427">
        <f>IF(COUNTIF(items_clean!$A:$A, D427)&gt;0, 1, 0)</f>
        <v>1</v>
      </c>
    </row>
    <row r="428" spans="1:9" x14ac:dyDescent="0.3">
      <c r="A428" s="1">
        <v>427</v>
      </c>
      <c r="B428" s="1" t="s">
        <v>625</v>
      </c>
      <c r="C428" s="4">
        <v>45339.300694444442</v>
      </c>
      <c r="D428" s="1" t="s">
        <v>104</v>
      </c>
      <c r="E428" s="3">
        <v>1</v>
      </c>
      <c r="F428" s="1" t="s">
        <v>626</v>
      </c>
      <c r="G428" s="1" t="s">
        <v>149</v>
      </c>
      <c r="H428" s="1" t="str">
        <f>IF(COUNTIF(items_clean!$A:$A, D428)&gt;0, "Valid", "Invalid")</f>
        <v>Valid</v>
      </c>
      <c r="I428">
        <f>IF(COUNTIF(items_clean!$A:$A, D428)&gt;0, 1, 0)</f>
        <v>1</v>
      </c>
    </row>
    <row r="429" spans="1:9" x14ac:dyDescent="0.3">
      <c r="A429" s="1">
        <v>428</v>
      </c>
      <c r="B429" s="1" t="s">
        <v>627</v>
      </c>
      <c r="C429" s="4">
        <v>45339.304166666669</v>
      </c>
      <c r="D429" s="1" t="s">
        <v>272</v>
      </c>
      <c r="E429" s="3">
        <v>1</v>
      </c>
      <c r="F429" s="1" t="s">
        <v>432</v>
      </c>
      <c r="G429" s="1" t="s">
        <v>146</v>
      </c>
      <c r="H429" s="1" t="str">
        <f>IF(COUNTIF(items_clean!$A:$A, D429)&gt;0, "Valid", "Invalid")</f>
        <v>Invalid</v>
      </c>
      <c r="I429">
        <f>IF(COUNTIF(items_clean!$A:$A, D429)&gt;0, 1, 0)</f>
        <v>0</v>
      </c>
    </row>
    <row r="430" spans="1:9" x14ac:dyDescent="0.3">
      <c r="A430" s="1">
        <v>429</v>
      </c>
      <c r="B430" s="1" t="s">
        <v>627</v>
      </c>
      <c r="C430" s="4">
        <v>45339.304166666669</v>
      </c>
      <c r="D430" s="1" t="s">
        <v>131</v>
      </c>
      <c r="E430" s="3">
        <v>1</v>
      </c>
      <c r="F430" s="1" t="s">
        <v>432</v>
      </c>
      <c r="G430" s="1" t="s">
        <v>778</v>
      </c>
      <c r="H430" s="1" t="str">
        <f>IF(COUNTIF(items_clean!$A:$A, D430)&gt;0, "Valid", "Invalid")</f>
        <v>Valid</v>
      </c>
      <c r="I430">
        <f>IF(COUNTIF(items_clean!$A:$A, D430)&gt;0, 1, 0)</f>
        <v>1</v>
      </c>
    </row>
    <row r="431" spans="1:9" x14ac:dyDescent="0.3">
      <c r="A431" s="1">
        <v>430</v>
      </c>
      <c r="B431" s="1" t="s">
        <v>628</v>
      </c>
      <c r="C431" s="4">
        <v>45339.307638888888</v>
      </c>
      <c r="D431" s="1" t="s">
        <v>113</v>
      </c>
      <c r="E431" s="3">
        <v>1</v>
      </c>
      <c r="F431" s="1" t="s">
        <v>434</v>
      </c>
      <c r="G431" s="1" t="s">
        <v>149</v>
      </c>
      <c r="H431" s="1" t="str">
        <f>IF(COUNTIF(items_clean!$A:$A, D431)&gt;0, "Valid", "Invalid")</f>
        <v>Valid</v>
      </c>
      <c r="I431">
        <f>IF(COUNTIF(items_clean!$A:$A, D431)&gt;0, 1, 0)</f>
        <v>1</v>
      </c>
    </row>
    <row r="432" spans="1:9" x14ac:dyDescent="0.3">
      <c r="A432" s="1">
        <v>431</v>
      </c>
      <c r="B432" s="1" t="s">
        <v>629</v>
      </c>
      <c r="C432" s="4">
        <v>45339.311111111114</v>
      </c>
      <c r="D432" s="1" t="s">
        <v>121</v>
      </c>
      <c r="E432" s="3">
        <v>1</v>
      </c>
      <c r="F432" s="1" t="s">
        <v>472</v>
      </c>
      <c r="G432" s="1" t="s">
        <v>146</v>
      </c>
      <c r="H432" s="1" t="str">
        <f>IF(COUNTIF(items_clean!$A:$A, D432)&gt;0, "Valid", "Invalid")</f>
        <v>Valid</v>
      </c>
      <c r="I432">
        <f>IF(COUNTIF(items_clean!$A:$A, D432)&gt;0, 1, 0)</f>
        <v>1</v>
      </c>
    </row>
    <row r="433" spans="1:9" x14ac:dyDescent="0.3">
      <c r="A433" s="1">
        <v>432</v>
      </c>
      <c r="B433" s="1" t="s">
        <v>629</v>
      </c>
      <c r="C433" s="4">
        <v>45339.311111111114</v>
      </c>
      <c r="D433" s="1" t="s">
        <v>110</v>
      </c>
      <c r="E433" s="3">
        <v>1</v>
      </c>
      <c r="F433" s="1" t="s">
        <v>472</v>
      </c>
      <c r="G433" s="1" t="s">
        <v>778</v>
      </c>
      <c r="H433" s="1" t="str">
        <f>IF(COUNTIF(items_clean!$A:$A, D433)&gt;0, "Valid", "Invalid")</f>
        <v>Valid</v>
      </c>
      <c r="I433">
        <f>IF(COUNTIF(items_clean!$A:$A, D433)&gt;0, 1, 0)</f>
        <v>1</v>
      </c>
    </row>
    <row r="434" spans="1:9" x14ac:dyDescent="0.3">
      <c r="A434" s="1">
        <v>433</v>
      </c>
      <c r="B434" s="1" t="s">
        <v>630</v>
      </c>
      <c r="C434" s="4">
        <v>45339.31527777778</v>
      </c>
      <c r="D434" s="1" t="s">
        <v>134</v>
      </c>
      <c r="E434" s="3">
        <v>1</v>
      </c>
      <c r="F434" s="1" t="s">
        <v>474</v>
      </c>
      <c r="G434" s="1" t="s">
        <v>149</v>
      </c>
      <c r="H434" s="1" t="str">
        <f>IF(COUNTIF(items_clean!$A:$A, D434)&gt;0, "Valid", "Invalid")</f>
        <v>Valid</v>
      </c>
      <c r="I434">
        <f>IF(COUNTIF(items_clean!$A:$A, D434)&gt;0, 1, 0)</f>
        <v>1</v>
      </c>
    </row>
    <row r="435" spans="1:9" x14ac:dyDescent="0.3">
      <c r="A435" s="1">
        <v>434</v>
      </c>
      <c r="B435" s="1" t="s">
        <v>631</v>
      </c>
      <c r="C435" s="4">
        <v>45339.318749999999</v>
      </c>
      <c r="D435" s="1" t="s">
        <v>105</v>
      </c>
      <c r="E435" s="3">
        <v>1</v>
      </c>
      <c r="F435" s="1" t="s">
        <v>476</v>
      </c>
      <c r="G435" s="1" t="s">
        <v>146</v>
      </c>
      <c r="H435" s="1" t="str">
        <f>IF(COUNTIF(items_clean!$A:$A, D435)&gt;0, "Valid", "Invalid")</f>
        <v>Valid</v>
      </c>
      <c r="I435">
        <f>IF(COUNTIF(items_clean!$A:$A, D435)&gt;0, 1, 0)</f>
        <v>1</v>
      </c>
    </row>
    <row r="436" spans="1:9" x14ac:dyDescent="0.3">
      <c r="A436" s="1">
        <v>435</v>
      </c>
      <c r="B436" s="1" t="s">
        <v>632</v>
      </c>
      <c r="C436" s="4">
        <v>45339.322222222225</v>
      </c>
      <c r="D436" s="1" t="s">
        <v>118</v>
      </c>
      <c r="E436" s="3">
        <v>1</v>
      </c>
      <c r="F436" s="1" t="s">
        <v>478</v>
      </c>
      <c r="G436" s="1" t="s">
        <v>149</v>
      </c>
      <c r="H436" s="1" t="str">
        <f>IF(COUNTIF(items_clean!$A:$A, D436)&gt;0, "Valid", "Invalid")</f>
        <v>Valid</v>
      </c>
      <c r="I436">
        <f>IF(COUNTIF(items_clean!$A:$A, D436)&gt;0, 1, 0)</f>
        <v>1</v>
      </c>
    </row>
    <row r="437" spans="1:9" x14ac:dyDescent="0.3">
      <c r="A437" s="1">
        <v>436</v>
      </c>
      <c r="B437" s="1" t="s">
        <v>632</v>
      </c>
      <c r="C437" s="4">
        <v>45339.322222222225</v>
      </c>
      <c r="D437" s="1" t="s">
        <v>128</v>
      </c>
      <c r="E437" s="3">
        <v>1</v>
      </c>
      <c r="F437" s="1" t="s">
        <v>478</v>
      </c>
      <c r="G437" s="1" t="s">
        <v>778</v>
      </c>
      <c r="H437" s="1" t="str">
        <f>IF(COUNTIF(items_clean!$A:$A, D437)&gt;0, "Valid", "Invalid")</f>
        <v>Valid</v>
      </c>
      <c r="I437">
        <f>IF(COUNTIF(items_clean!$A:$A, D437)&gt;0, 1, 0)</f>
        <v>1</v>
      </c>
    </row>
    <row r="438" spans="1:9" x14ac:dyDescent="0.3">
      <c r="A438" s="1">
        <v>437</v>
      </c>
      <c r="B438" s="1" t="s">
        <v>633</v>
      </c>
      <c r="C438" s="4">
        <v>45339.325694444444</v>
      </c>
      <c r="D438" s="1" t="s">
        <v>265</v>
      </c>
      <c r="E438" s="3">
        <v>1</v>
      </c>
      <c r="F438" s="1" t="s">
        <v>549</v>
      </c>
      <c r="G438" s="1" t="s">
        <v>146</v>
      </c>
      <c r="H438" s="1" t="str">
        <f>IF(COUNTIF(items_clean!$A:$A, D438)&gt;0, "Valid", "Invalid")</f>
        <v>Invalid</v>
      </c>
      <c r="I438">
        <f>IF(COUNTIF(items_clean!$A:$A, D438)&gt;0, 1, 0)</f>
        <v>0</v>
      </c>
    </row>
    <row r="439" spans="1:9" x14ac:dyDescent="0.3">
      <c r="A439" s="1">
        <v>438</v>
      </c>
      <c r="B439" s="1" t="s">
        <v>634</v>
      </c>
      <c r="C439" s="4">
        <v>45339.32916666667</v>
      </c>
      <c r="D439" s="1" t="s">
        <v>102</v>
      </c>
      <c r="E439" s="3">
        <v>1</v>
      </c>
      <c r="F439" s="1" t="s">
        <v>635</v>
      </c>
      <c r="G439" s="1" t="s">
        <v>149</v>
      </c>
      <c r="H439" s="1" t="str">
        <f>IF(COUNTIF(items_clean!$A:$A, D439)&gt;0, "Valid", "Invalid")</f>
        <v>Valid</v>
      </c>
      <c r="I439">
        <f>IF(COUNTIF(items_clean!$A:$A, D439)&gt;0, 1, 0)</f>
        <v>1</v>
      </c>
    </row>
    <row r="440" spans="1:9" x14ac:dyDescent="0.3">
      <c r="A440" s="1">
        <v>439</v>
      </c>
      <c r="B440" s="1" t="s">
        <v>636</v>
      </c>
      <c r="C440" s="4">
        <v>45339.332638888889</v>
      </c>
      <c r="D440" s="1" t="s">
        <v>125</v>
      </c>
      <c r="E440" s="3">
        <v>1</v>
      </c>
      <c r="F440" s="1" t="s">
        <v>637</v>
      </c>
      <c r="G440" s="1" t="s">
        <v>146</v>
      </c>
      <c r="H440" s="1" t="str">
        <f>IF(COUNTIF(items_clean!$A:$A, D440)&gt;0, "Valid", "Invalid")</f>
        <v>Valid</v>
      </c>
      <c r="I440">
        <f>IF(COUNTIF(items_clean!$A:$A, D440)&gt;0, 1, 0)</f>
        <v>1</v>
      </c>
    </row>
    <row r="441" spans="1:9" x14ac:dyDescent="0.3">
      <c r="A441" s="1">
        <v>440</v>
      </c>
      <c r="B441" s="1" t="s">
        <v>636</v>
      </c>
      <c r="C441" s="4">
        <v>45339.332638888889</v>
      </c>
      <c r="D441" s="1" t="s">
        <v>111</v>
      </c>
      <c r="E441" s="3">
        <v>1</v>
      </c>
      <c r="F441" s="1" t="s">
        <v>637</v>
      </c>
      <c r="G441" s="1" t="s">
        <v>778</v>
      </c>
      <c r="H441" s="1" t="str">
        <f>IF(COUNTIF(items_clean!$A:$A, D441)&gt;0, "Valid", "Invalid")</f>
        <v>Valid</v>
      </c>
      <c r="I441">
        <f>IF(COUNTIF(items_clean!$A:$A, D441)&gt;0, 1, 0)</f>
        <v>1</v>
      </c>
    </row>
    <row r="442" spans="1:9" x14ac:dyDescent="0.3">
      <c r="A442" s="1">
        <v>441</v>
      </c>
      <c r="B442" s="1" t="s">
        <v>638</v>
      </c>
      <c r="C442" s="4">
        <v>45339.336111111108</v>
      </c>
      <c r="D442" s="1" t="s">
        <v>116</v>
      </c>
      <c r="E442" s="3">
        <v>1</v>
      </c>
      <c r="F442" s="1" t="s">
        <v>399</v>
      </c>
      <c r="G442" s="1" t="s">
        <v>149</v>
      </c>
      <c r="H442" s="1" t="str">
        <f>IF(COUNTIF(items_clean!$A:$A, D442)&gt;0, "Valid", "Invalid")</f>
        <v>Valid</v>
      </c>
      <c r="I442">
        <f>IF(COUNTIF(items_clean!$A:$A, D442)&gt;0, 1, 0)</f>
        <v>1</v>
      </c>
    </row>
    <row r="443" spans="1:9" x14ac:dyDescent="0.3">
      <c r="A443" s="1">
        <v>442</v>
      </c>
      <c r="B443" s="1" t="s">
        <v>639</v>
      </c>
      <c r="C443" s="4">
        <v>45339.340277777781</v>
      </c>
      <c r="D443" s="1" t="s">
        <v>138</v>
      </c>
      <c r="E443" s="3">
        <v>1</v>
      </c>
      <c r="F443" s="1" t="s">
        <v>640</v>
      </c>
      <c r="G443" s="1" t="s">
        <v>146</v>
      </c>
      <c r="H443" s="1" t="str">
        <f>IF(COUNTIF(items_clean!$A:$A, D443)&gt;0, "Valid", "Invalid")</f>
        <v>Valid</v>
      </c>
      <c r="I443">
        <f>IF(COUNTIF(items_clean!$A:$A, D443)&gt;0, 1, 0)</f>
        <v>1</v>
      </c>
    </row>
    <row r="444" spans="1:9" x14ac:dyDescent="0.3">
      <c r="A444" s="1">
        <v>443</v>
      </c>
      <c r="B444" s="1" t="s">
        <v>641</v>
      </c>
      <c r="C444" s="4">
        <v>45339.34375</v>
      </c>
      <c r="D444" s="1" t="s">
        <v>108</v>
      </c>
      <c r="E444" s="3">
        <v>1</v>
      </c>
      <c r="F444" s="1" t="s">
        <v>642</v>
      </c>
      <c r="G444" s="1" t="s">
        <v>149</v>
      </c>
      <c r="H444" s="1" t="str">
        <f>IF(COUNTIF(items_clean!$A:$A, D444)&gt;0, "Valid", "Invalid")</f>
        <v>Valid</v>
      </c>
      <c r="I444">
        <f>IF(COUNTIF(items_clean!$A:$A, D444)&gt;0, 1, 0)</f>
        <v>1</v>
      </c>
    </row>
    <row r="445" spans="1:9" x14ac:dyDescent="0.3">
      <c r="A445" s="1">
        <v>444</v>
      </c>
      <c r="B445" s="1" t="s">
        <v>641</v>
      </c>
      <c r="C445" s="4">
        <v>45339.34375</v>
      </c>
      <c r="D445" s="1" t="s">
        <v>132</v>
      </c>
      <c r="E445" s="3">
        <v>1</v>
      </c>
      <c r="F445" s="1" t="s">
        <v>642</v>
      </c>
      <c r="G445" s="1" t="s">
        <v>778</v>
      </c>
      <c r="H445" s="1" t="str">
        <f>IF(COUNTIF(items_clean!$A:$A, D445)&gt;0, "Valid", "Invalid")</f>
        <v>Valid</v>
      </c>
      <c r="I445">
        <f>IF(COUNTIF(items_clean!$A:$A, D445)&gt;0, 1, 0)</f>
        <v>1</v>
      </c>
    </row>
    <row r="446" spans="1:9" x14ac:dyDescent="0.3">
      <c r="A446" s="1">
        <v>445</v>
      </c>
      <c r="B446" s="1" t="s">
        <v>643</v>
      </c>
      <c r="C446" s="4">
        <v>45339.347222222219</v>
      </c>
      <c r="D446" s="1" t="s">
        <v>115</v>
      </c>
      <c r="E446" s="3">
        <v>1</v>
      </c>
      <c r="F446" s="1" t="s">
        <v>644</v>
      </c>
      <c r="G446" s="1" t="s">
        <v>146</v>
      </c>
      <c r="H446" s="1" t="str">
        <f>IF(COUNTIF(items_clean!$A:$A, D446)&gt;0, "Valid", "Invalid")</f>
        <v>Valid</v>
      </c>
      <c r="I446">
        <f>IF(COUNTIF(items_clean!$A:$A, D446)&gt;0, 1, 0)</f>
        <v>1</v>
      </c>
    </row>
    <row r="447" spans="1:9" x14ac:dyDescent="0.3">
      <c r="A447" s="1">
        <v>446</v>
      </c>
      <c r="B447" s="1" t="s">
        <v>645</v>
      </c>
      <c r="C447" s="4">
        <v>45339.350694444445</v>
      </c>
      <c r="D447" s="1" t="s">
        <v>278</v>
      </c>
      <c r="E447" s="3">
        <v>1</v>
      </c>
      <c r="F447" s="1" t="s">
        <v>602</v>
      </c>
      <c r="G447" s="1" t="s">
        <v>149</v>
      </c>
      <c r="H447" s="1" t="str">
        <f>IF(COUNTIF(items_clean!$A:$A, D447)&gt;0, "Valid", "Invalid")</f>
        <v>Invalid</v>
      </c>
      <c r="I447">
        <f>IF(COUNTIF(items_clean!$A:$A, D447)&gt;0, 1, 0)</f>
        <v>0</v>
      </c>
    </row>
    <row r="448" spans="1:9" x14ac:dyDescent="0.3">
      <c r="A448" s="1">
        <v>447</v>
      </c>
      <c r="B448" s="1" t="s">
        <v>646</v>
      </c>
      <c r="C448" s="4">
        <v>45339.354166666664</v>
      </c>
      <c r="D448" s="1" t="s">
        <v>119</v>
      </c>
      <c r="E448" s="3">
        <v>1</v>
      </c>
      <c r="F448" s="1" t="s">
        <v>647</v>
      </c>
      <c r="G448" s="1" t="s">
        <v>146</v>
      </c>
      <c r="H448" s="1" t="str">
        <f>IF(COUNTIF(items_clean!$A:$A, D448)&gt;0, "Valid", "Invalid")</f>
        <v>Valid</v>
      </c>
      <c r="I448">
        <f>IF(COUNTIF(items_clean!$A:$A, D448)&gt;0, 1, 0)</f>
        <v>1</v>
      </c>
    </row>
    <row r="449" spans="1:9" x14ac:dyDescent="0.3">
      <c r="A449" s="1">
        <v>448</v>
      </c>
      <c r="B449" s="1" t="s">
        <v>646</v>
      </c>
      <c r="C449" s="4">
        <v>45339.354166666664</v>
      </c>
      <c r="D449" s="1" t="s">
        <v>129</v>
      </c>
      <c r="E449" s="3">
        <v>1</v>
      </c>
      <c r="F449" s="1" t="s">
        <v>647</v>
      </c>
      <c r="G449" s="1" t="s">
        <v>778</v>
      </c>
      <c r="H449" s="1" t="str">
        <f>IF(COUNTIF(items_clean!$A:$A, D449)&gt;0, "Valid", "Invalid")</f>
        <v>Valid</v>
      </c>
      <c r="I449">
        <f>IF(COUNTIF(items_clean!$A:$A, D449)&gt;0, 1, 0)</f>
        <v>1</v>
      </c>
    </row>
    <row r="450" spans="1:9" x14ac:dyDescent="0.3">
      <c r="A450" s="1">
        <v>449</v>
      </c>
      <c r="B450" s="1" t="s">
        <v>648</v>
      </c>
      <c r="C450" s="4">
        <v>45339.357638888891</v>
      </c>
      <c r="D450" s="1" t="s">
        <v>100</v>
      </c>
      <c r="E450" s="3">
        <v>1</v>
      </c>
      <c r="F450" s="1" t="s">
        <v>649</v>
      </c>
      <c r="G450" s="1" t="s">
        <v>149</v>
      </c>
      <c r="H450" s="1" t="str">
        <f>IF(COUNTIF(items_clean!$A:$A, D450)&gt;0, "Valid", "Invalid")</f>
        <v>Valid</v>
      </c>
      <c r="I450">
        <f>IF(COUNTIF(items_clean!$A:$A, D450)&gt;0, 1, 0)</f>
        <v>1</v>
      </c>
    </row>
    <row r="451" spans="1:9" x14ac:dyDescent="0.3">
      <c r="A451" s="1">
        <v>450</v>
      </c>
      <c r="B451" s="1" t="s">
        <v>650</v>
      </c>
      <c r="C451" s="4">
        <v>45339.361111111109</v>
      </c>
      <c r="D451" s="1" t="s">
        <v>254</v>
      </c>
      <c r="E451" s="3">
        <v>1</v>
      </c>
      <c r="F451" s="1" t="s">
        <v>651</v>
      </c>
      <c r="G451" s="1" t="s">
        <v>146</v>
      </c>
      <c r="H451" s="1" t="str">
        <f>IF(COUNTIF(items_clean!$A:$A, D451)&gt;0, "Valid", "Invalid")</f>
        <v>Invalid</v>
      </c>
      <c r="I451">
        <f>IF(COUNTIF(items_clean!$A:$A, D451)&gt;0, 1, 0)</f>
        <v>0</v>
      </c>
    </row>
    <row r="452" spans="1:9" x14ac:dyDescent="0.3">
      <c r="A452" s="1">
        <v>451</v>
      </c>
      <c r="B452" s="1" t="s">
        <v>652</v>
      </c>
      <c r="C452" s="4">
        <v>45339.364583333336</v>
      </c>
      <c r="D452" s="1" t="s">
        <v>122</v>
      </c>
      <c r="E452" s="3">
        <v>1</v>
      </c>
      <c r="F452" s="1" t="s">
        <v>610</v>
      </c>
      <c r="G452" s="1" t="s">
        <v>149</v>
      </c>
      <c r="H452" s="1" t="str">
        <f>IF(COUNTIF(items_clean!$A:$A, D452)&gt;0, "Valid", "Invalid")</f>
        <v>Valid</v>
      </c>
      <c r="I452">
        <f>IF(COUNTIF(items_clean!$A:$A, D452)&gt;0, 1, 0)</f>
        <v>1</v>
      </c>
    </row>
    <row r="453" spans="1:9" x14ac:dyDescent="0.3">
      <c r="A453" s="1">
        <v>452</v>
      </c>
      <c r="B453" s="1" t="s">
        <v>653</v>
      </c>
      <c r="C453" s="4">
        <v>45339.368750000001</v>
      </c>
      <c r="D453" s="1" t="s">
        <v>110</v>
      </c>
      <c r="E453" s="3">
        <v>1</v>
      </c>
      <c r="F453" s="1" t="s">
        <v>571</v>
      </c>
      <c r="G453" s="1" t="s">
        <v>146</v>
      </c>
      <c r="H453" s="1" t="str">
        <f>IF(COUNTIF(items_clean!$A:$A, D453)&gt;0, "Valid", "Invalid")</f>
        <v>Valid</v>
      </c>
      <c r="I453">
        <f>IF(COUNTIF(items_clean!$A:$A, D453)&gt;0, 1, 0)</f>
        <v>1</v>
      </c>
    </row>
    <row r="454" spans="1:9" x14ac:dyDescent="0.3">
      <c r="A454" s="1">
        <v>453</v>
      </c>
      <c r="B454" s="1" t="s">
        <v>653</v>
      </c>
      <c r="C454" s="4">
        <v>45339.368750000001</v>
      </c>
      <c r="D454" s="1" t="s">
        <v>135</v>
      </c>
      <c r="E454" s="3">
        <v>1</v>
      </c>
      <c r="F454" s="1" t="s">
        <v>571</v>
      </c>
      <c r="G454" s="1" t="s">
        <v>778</v>
      </c>
      <c r="H454" s="1" t="str">
        <f>IF(COUNTIF(items_clean!$A:$A, D454)&gt;0, "Valid", "Invalid")</f>
        <v>Valid</v>
      </c>
      <c r="I454">
        <f>IF(COUNTIF(items_clean!$A:$A, D454)&gt;0, 1, 0)</f>
        <v>1</v>
      </c>
    </row>
    <row r="455" spans="1:9" x14ac:dyDescent="0.3">
      <c r="A455" s="1">
        <v>454</v>
      </c>
      <c r="B455" s="1" t="s">
        <v>654</v>
      </c>
      <c r="C455" s="4">
        <v>45339.37222222222</v>
      </c>
      <c r="D455" s="1" t="s">
        <v>96</v>
      </c>
      <c r="E455" s="3">
        <v>1</v>
      </c>
      <c r="F455" s="1" t="s">
        <v>655</v>
      </c>
      <c r="G455" s="1" t="s">
        <v>149</v>
      </c>
      <c r="H455" s="1" t="str">
        <f>IF(COUNTIF(items_clean!$A:$A, D455)&gt;0, "Valid", "Invalid")</f>
        <v>Valid</v>
      </c>
      <c r="I455">
        <f>IF(COUNTIF(items_clean!$A:$A, D455)&gt;0, 1, 0)</f>
        <v>1</v>
      </c>
    </row>
    <row r="456" spans="1:9" x14ac:dyDescent="0.3">
      <c r="A456" s="1">
        <v>455</v>
      </c>
      <c r="B456" s="1" t="s">
        <v>656</v>
      </c>
      <c r="C456" s="4">
        <v>45339.375694444447</v>
      </c>
      <c r="D456" s="1" t="s">
        <v>126</v>
      </c>
      <c r="E456" s="3">
        <v>1</v>
      </c>
      <c r="F456" s="1" t="s">
        <v>657</v>
      </c>
      <c r="G456" s="1" t="s">
        <v>146</v>
      </c>
      <c r="H456" s="1" t="str">
        <f>IF(COUNTIF(items_clean!$A:$A, D456)&gt;0, "Valid", "Invalid")</f>
        <v>Valid</v>
      </c>
      <c r="I456">
        <f>IF(COUNTIF(items_clean!$A:$A, D456)&gt;0, 1, 0)</f>
        <v>1</v>
      </c>
    </row>
    <row r="457" spans="1:9" x14ac:dyDescent="0.3">
      <c r="A457" s="1">
        <v>456</v>
      </c>
      <c r="B457" s="1" t="s">
        <v>658</v>
      </c>
      <c r="C457" s="4">
        <v>45339.379166666666</v>
      </c>
      <c r="D457" s="1" t="s">
        <v>104</v>
      </c>
      <c r="E457" s="3">
        <v>1</v>
      </c>
      <c r="F457" s="1" t="s">
        <v>659</v>
      </c>
      <c r="G457" s="1" t="s">
        <v>149</v>
      </c>
      <c r="H457" s="1" t="str">
        <f>IF(COUNTIF(items_clean!$A:$A, D457)&gt;0, "Valid", "Invalid")</f>
        <v>Valid</v>
      </c>
      <c r="I457">
        <f>IF(COUNTIF(items_clean!$A:$A, D457)&gt;0, 1, 0)</f>
        <v>1</v>
      </c>
    </row>
    <row r="458" spans="1:9" x14ac:dyDescent="0.3">
      <c r="A458" s="1">
        <v>457</v>
      </c>
      <c r="B458" s="1" t="s">
        <v>658</v>
      </c>
      <c r="C458" s="4">
        <v>45339.379166666666</v>
      </c>
      <c r="D458" s="1" t="s">
        <v>131</v>
      </c>
      <c r="E458" s="3">
        <v>1</v>
      </c>
      <c r="F458" s="1" t="s">
        <v>659</v>
      </c>
      <c r="G458" s="1" t="s">
        <v>778</v>
      </c>
      <c r="H458" s="1" t="str">
        <f>IF(COUNTIF(items_clean!$A:$A, D458)&gt;0, "Valid", "Invalid")</f>
        <v>Valid</v>
      </c>
      <c r="I458">
        <f>IF(COUNTIF(items_clean!$A:$A, D458)&gt;0, 1, 0)</f>
        <v>1</v>
      </c>
    </row>
    <row r="459" spans="1:9" x14ac:dyDescent="0.3">
      <c r="A459" s="1">
        <v>458</v>
      </c>
      <c r="B459" s="1" t="s">
        <v>660</v>
      </c>
      <c r="C459" s="4">
        <v>45339.382638888892</v>
      </c>
      <c r="D459" s="1" t="s">
        <v>113</v>
      </c>
      <c r="E459" s="3">
        <v>1</v>
      </c>
      <c r="F459" s="1" t="s">
        <v>661</v>
      </c>
      <c r="G459" s="1" t="s">
        <v>146</v>
      </c>
      <c r="H459" s="1" t="str">
        <f>IF(COUNTIF(items_clean!$A:$A, D459)&gt;0, "Valid", "Invalid")</f>
        <v>Valid</v>
      </c>
      <c r="I459">
        <f>IF(COUNTIF(items_clean!$A:$A, D459)&gt;0, 1, 0)</f>
        <v>1</v>
      </c>
    </row>
    <row r="460" spans="1:9" x14ac:dyDescent="0.3">
      <c r="A460" s="1">
        <v>459</v>
      </c>
      <c r="B460" s="1" t="s">
        <v>662</v>
      </c>
      <c r="C460" s="4">
        <v>45339.386111111111</v>
      </c>
      <c r="D460" s="1" t="s">
        <v>272</v>
      </c>
      <c r="E460" s="3">
        <v>1</v>
      </c>
      <c r="F460" s="1" t="s">
        <v>249</v>
      </c>
      <c r="G460" s="1" t="s">
        <v>149</v>
      </c>
      <c r="H460" s="1" t="str">
        <f>IF(COUNTIF(items_clean!$A:$A, D460)&gt;0, "Valid", "Invalid")</f>
        <v>Invalid</v>
      </c>
      <c r="I460">
        <f>IF(COUNTIF(items_clean!$A:$A, D460)&gt;0, 1, 0)</f>
        <v>0</v>
      </c>
    </row>
    <row r="461" spans="1:9" x14ac:dyDescent="0.3">
      <c r="A461" s="1">
        <v>460</v>
      </c>
      <c r="B461" s="1" t="s">
        <v>663</v>
      </c>
      <c r="C461" s="4">
        <v>45339.38958333333</v>
      </c>
      <c r="D461" s="1" t="s">
        <v>118</v>
      </c>
      <c r="E461" s="3">
        <v>1</v>
      </c>
      <c r="F461" s="1" t="s">
        <v>664</v>
      </c>
      <c r="G461" s="1" t="s">
        <v>146</v>
      </c>
      <c r="H461" s="1" t="str">
        <f>IF(COUNTIF(items_clean!$A:$A, D461)&gt;0, "Valid", "Invalid")</f>
        <v>Valid</v>
      </c>
      <c r="I461">
        <f>IF(COUNTIF(items_clean!$A:$A, D461)&gt;0, 1, 0)</f>
        <v>1</v>
      </c>
    </row>
    <row r="462" spans="1:9" x14ac:dyDescent="0.3">
      <c r="A462" s="1">
        <v>461</v>
      </c>
      <c r="B462" s="1" t="s">
        <v>665</v>
      </c>
      <c r="C462" s="4">
        <v>45339.393750000003</v>
      </c>
      <c r="D462" s="1" t="s">
        <v>128</v>
      </c>
      <c r="E462" s="3">
        <v>1</v>
      </c>
      <c r="F462" s="1" t="s">
        <v>539</v>
      </c>
      <c r="G462" s="1" t="s">
        <v>149</v>
      </c>
      <c r="H462" s="1" t="str">
        <f>IF(COUNTIF(items_clean!$A:$A, D462)&gt;0, "Valid", "Invalid")</f>
        <v>Valid</v>
      </c>
      <c r="I462">
        <f>IF(COUNTIF(items_clean!$A:$A, D462)&gt;0, 1, 0)</f>
        <v>1</v>
      </c>
    </row>
    <row r="463" spans="1:9" x14ac:dyDescent="0.3">
      <c r="A463" s="1">
        <v>462</v>
      </c>
      <c r="B463" s="1" t="s">
        <v>665</v>
      </c>
      <c r="C463" s="4">
        <v>45339.393750000003</v>
      </c>
      <c r="D463" s="1" t="s">
        <v>134</v>
      </c>
      <c r="E463" s="3">
        <v>1</v>
      </c>
      <c r="F463" s="1" t="s">
        <v>539</v>
      </c>
      <c r="G463" s="1" t="s">
        <v>778</v>
      </c>
      <c r="H463" s="1" t="str">
        <f>IF(COUNTIF(items_clean!$A:$A, D463)&gt;0, "Valid", "Invalid")</f>
        <v>Valid</v>
      </c>
      <c r="I463">
        <f>IF(COUNTIF(items_clean!$A:$A, D463)&gt;0, 1, 0)</f>
        <v>1</v>
      </c>
    </row>
    <row r="464" spans="1:9" x14ac:dyDescent="0.3">
      <c r="A464" s="1">
        <v>463</v>
      </c>
      <c r="B464" s="1" t="s">
        <v>666</v>
      </c>
      <c r="C464" s="4">
        <v>45339.397222222222</v>
      </c>
      <c r="D464" s="1" t="s">
        <v>105</v>
      </c>
      <c r="E464" s="3">
        <v>1</v>
      </c>
      <c r="F464" s="1" t="s">
        <v>667</v>
      </c>
      <c r="G464" s="1" t="s">
        <v>146</v>
      </c>
      <c r="H464" s="1" t="str">
        <f>IF(COUNTIF(items_clean!$A:$A, D464)&gt;0, "Valid", "Invalid")</f>
        <v>Valid</v>
      </c>
      <c r="I464">
        <f>IF(COUNTIF(items_clean!$A:$A, D464)&gt;0, 1, 0)</f>
        <v>1</v>
      </c>
    </row>
    <row r="465" spans="1:9" x14ac:dyDescent="0.3">
      <c r="A465" s="1">
        <v>464</v>
      </c>
      <c r="B465" s="1" t="s">
        <v>668</v>
      </c>
      <c r="C465" s="4">
        <v>45339.400694444441</v>
      </c>
      <c r="D465" s="1" t="s">
        <v>116</v>
      </c>
      <c r="E465" s="3">
        <v>1</v>
      </c>
      <c r="F465" s="1" t="s">
        <v>669</v>
      </c>
      <c r="G465" s="1" t="s">
        <v>149</v>
      </c>
      <c r="H465" s="1" t="str">
        <f>IF(COUNTIF(items_clean!$A:$A, D465)&gt;0, "Valid", "Invalid")</f>
        <v>Valid</v>
      </c>
      <c r="I465">
        <f>IF(COUNTIF(items_clean!$A:$A, D465)&gt;0, 1, 0)</f>
        <v>1</v>
      </c>
    </row>
    <row r="466" spans="1:9" x14ac:dyDescent="0.3">
      <c r="A466" s="1">
        <v>465</v>
      </c>
      <c r="B466" s="1" t="s">
        <v>670</v>
      </c>
      <c r="C466" s="4">
        <v>45339.404166666667</v>
      </c>
      <c r="D466" s="1" t="s">
        <v>265</v>
      </c>
      <c r="E466" s="3">
        <v>1</v>
      </c>
      <c r="F466" s="1" t="s">
        <v>671</v>
      </c>
      <c r="G466" s="1" t="s">
        <v>146</v>
      </c>
      <c r="H466" s="1" t="str">
        <f>IF(COUNTIF(items_clean!$A:$A, D466)&gt;0, "Valid", "Invalid")</f>
        <v>Invalid</v>
      </c>
      <c r="I466">
        <f>IF(COUNTIF(items_clean!$A:$A, D466)&gt;0, 1, 0)</f>
        <v>0</v>
      </c>
    </row>
    <row r="467" spans="1:9" x14ac:dyDescent="0.3">
      <c r="A467" s="1">
        <v>466</v>
      </c>
      <c r="B467" s="1" t="s">
        <v>672</v>
      </c>
      <c r="C467" s="4">
        <v>45339.407638888886</v>
      </c>
      <c r="D467" s="1" t="s">
        <v>102</v>
      </c>
      <c r="E467" s="3">
        <v>1</v>
      </c>
      <c r="F467" s="1" t="s">
        <v>673</v>
      </c>
      <c r="G467" s="1" t="s">
        <v>149</v>
      </c>
      <c r="H467" s="1" t="str">
        <f>IF(COUNTIF(items_clean!$A:$A, D467)&gt;0, "Valid", "Invalid")</f>
        <v>Valid</v>
      </c>
      <c r="I467">
        <f>IF(COUNTIF(items_clean!$A:$A, D467)&gt;0, 1, 0)</f>
        <v>1</v>
      </c>
    </row>
    <row r="468" spans="1:9" x14ac:dyDescent="0.3">
      <c r="A468" s="1">
        <v>467</v>
      </c>
      <c r="B468" s="1" t="s">
        <v>674</v>
      </c>
      <c r="C468" s="4">
        <v>45339.411111111112</v>
      </c>
      <c r="D468" s="1" t="s">
        <v>125</v>
      </c>
      <c r="E468" s="3">
        <v>1</v>
      </c>
      <c r="F468" s="1" t="s">
        <v>675</v>
      </c>
      <c r="G468" s="1" t="s">
        <v>146</v>
      </c>
      <c r="H468" s="1" t="str">
        <f>IF(COUNTIF(items_clean!$A:$A, D468)&gt;0, "Valid", "Invalid")</f>
        <v>Valid</v>
      </c>
      <c r="I468">
        <f>IF(COUNTIF(items_clean!$A:$A, D468)&gt;0, 1, 0)</f>
        <v>1</v>
      </c>
    </row>
    <row r="469" spans="1:9" x14ac:dyDescent="0.3">
      <c r="A469" s="1">
        <v>468</v>
      </c>
      <c r="B469" s="1" t="s">
        <v>674</v>
      </c>
      <c r="C469" s="4">
        <v>45339.411111111112</v>
      </c>
      <c r="D469" s="1" t="s">
        <v>138</v>
      </c>
      <c r="E469" s="3">
        <v>1</v>
      </c>
      <c r="F469" s="1" t="s">
        <v>675</v>
      </c>
      <c r="G469" s="1" t="s">
        <v>778</v>
      </c>
      <c r="H469" s="1" t="str">
        <f>IF(COUNTIF(items_clean!$A:$A, D469)&gt;0, "Valid", "Invalid")</f>
        <v>Valid</v>
      </c>
      <c r="I469">
        <f>IF(COUNTIF(items_clean!$A:$A, D469)&gt;0, 1, 0)</f>
        <v>1</v>
      </c>
    </row>
    <row r="470" spans="1:9" x14ac:dyDescent="0.3">
      <c r="A470" s="1">
        <v>469</v>
      </c>
      <c r="B470" s="1" t="s">
        <v>676</v>
      </c>
      <c r="C470" s="4">
        <v>45339.414583333331</v>
      </c>
      <c r="D470" s="1" t="s">
        <v>111</v>
      </c>
      <c r="E470" s="3">
        <v>1</v>
      </c>
      <c r="F470" s="1" t="s">
        <v>478</v>
      </c>
      <c r="G470" s="1" t="s">
        <v>149</v>
      </c>
      <c r="H470" s="1" t="str">
        <f>IF(COUNTIF(items_clean!$A:$A, D470)&gt;0, "Valid", "Invalid")</f>
        <v>Valid</v>
      </c>
      <c r="I470">
        <f>IF(COUNTIF(items_clean!$A:$A, D470)&gt;0, 1, 0)</f>
        <v>1</v>
      </c>
    </row>
    <row r="471" spans="1:9" x14ac:dyDescent="0.3">
      <c r="A471" s="1">
        <v>470</v>
      </c>
      <c r="B471" s="1" t="s">
        <v>676</v>
      </c>
      <c r="C471" s="4">
        <v>45339.422222222223</v>
      </c>
      <c r="D471" s="1" t="s">
        <v>125</v>
      </c>
      <c r="E471" s="3">
        <v>1</v>
      </c>
      <c r="F471" s="1" t="s">
        <v>546</v>
      </c>
      <c r="G471" s="1" t="s">
        <v>778</v>
      </c>
      <c r="H471" s="1" t="str">
        <f>IF(COUNTIF(items_clean!$A:$A, D471)&gt;0, "Valid", "Invalid")</f>
        <v>Valid</v>
      </c>
      <c r="I471">
        <f>IF(COUNTIF(items_clean!$A:$A, D471)&gt;0, 1, 0)</f>
        <v>1</v>
      </c>
    </row>
    <row r="472" spans="1:9" x14ac:dyDescent="0.3">
      <c r="A472" s="1">
        <v>471</v>
      </c>
      <c r="B472" s="1" t="s">
        <v>677</v>
      </c>
      <c r="C472" s="4">
        <v>45339.433333333334</v>
      </c>
      <c r="D472" s="1" t="s">
        <v>138</v>
      </c>
      <c r="E472" s="3">
        <v>1</v>
      </c>
      <c r="F472" s="1" t="s">
        <v>145</v>
      </c>
      <c r="G472" s="1" t="s">
        <v>149</v>
      </c>
      <c r="H472" s="1" t="str">
        <f>IF(COUNTIF(items_clean!$A:$A, D472)&gt;0, "Valid", "Invalid")</f>
        <v>Valid</v>
      </c>
      <c r="I472">
        <f>IF(COUNTIF(items_clean!$A:$A, D472)&gt;0, 1, 0)</f>
        <v>1</v>
      </c>
    </row>
    <row r="473" spans="1:9" x14ac:dyDescent="0.3">
      <c r="A473" s="1">
        <v>472</v>
      </c>
      <c r="B473" s="1" t="s">
        <v>677</v>
      </c>
      <c r="C473" s="4">
        <v>45339.433333333334</v>
      </c>
      <c r="D473" s="1" t="s">
        <v>111</v>
      </c>
      <c r="E473" s="3">
        <v>1</v>
      </c>
      <c r="F473" s="1" t="s">
        <v>145</v>
      </c>
      <c r="G473" s="1" t="s">
        <v>778</v>
      </c>
      <c r="H473" s="1" t="str">
        <f>IF(COUNTIF(items_clean!$A:$A, D473)&gt;0, "Valid", "Invalid")</f>
        <v>Valid</v>
      </c>
      <c r="I473">
        <f>IF(COUNTIF(items_clean!$A:$A, D473)&gt;0, 1, 0)</f>
        <v>1</v>
      </c>
    </row>
    <row r="474" spans="1:9" x14ac:dyDescent="0.3">
      <c r="A474" s="1">
        <v>473</v>
      </c>
      <c r="B474" s="1" t="s">
        <v>678</v>
      </c>
      <c r="C474" s="4">
        <v>45339.444444444445</v>
      </c>
      <c r="D474" s="1" t="s">
        <v>100</v>
      </c>
      <c r="E474" s="3">
        <v>1</v>
      </c>
      <c r="F474" s="1" t="s">
        <v>167</v>
      </c>
      <c r="G474" s="1" t="s">
        <v>146</v>
      </c>
      <c r="H474" s="1" t="str">
        <f>IF(COUNTIF(items_clean!$A:$A, D474)&gt;0, "Valid", "Invalid")</f>
        <v>Valid</v>
      </c>
      <c r="I474">
        <f>IF(COUNTIF(items_clean!$A:$A, D474)&gt;0, 1, 0)</f>
        <v>1</v>
      </c>
    </row>
    <row r="475" spans="1:9" x14ac:dyDescent="0.3">
      <c r="A475" s="1">
        <v>474</v>
      </c>
      <c r="B475" s="1" t="s">
        <v>679</v>
      </c>
      <c r="C475" s="4">
        <v>45339.455555555556</v>
      </c>
      <c r="D475" s="1" t="s">
        <v>115</v>
      </c>
      <c r="E475" s="3">
        <v>1</v>
      </c>
      <c r="F475" s="1" t="s">
        <v>680</v>
      </c>
      <c r="G475" s="1" t="s">
        <v>149</v>
      </c>
      <c r="H475" s="1" t="str">
        <f>IF(COUNTIF(items_clean!$A:$A, D475)&gt;0, "Valid", "Invalid")</f>
        <v>Valid</v>
      </c>
      <c r="I475">
        <f>IF(COUNTIF(items_clean!$A:$A, D475)&gt;0, 1, 0)</f>
        <v>1</v>
      </c>
    </row>
    <row r="476" spans="1:9" x14ac:dyDescent="0.3">
      <c r="A476" s="1">
        <v>475</v>
      </c>
      <c r="B476" s="1" t="s">
        <v>681</v>
      </c>
      <c r="C476" s="4">
        <v>45339.466666666667</v>
      </c>
      <c r="D476" s="1" t="s">
        <v>105</v>
      </c>
      <c r="E476" s="3">
        <v>1</v>
      </c>
      <c r="F476" s="1" t="s">
        <v>440</v>
      </c>
      <c r="G476" s="1" t="s">
        <v>146</v>
      </c>
      <c r="H476" s="1" t="str">
        <f>IF(COUNTIF(items_clean!$A:$A, D476)&gt;0, "Valid", "Invalid")</f>
        <v>Valid</v>
      </c>
      <c r="I476">
        <f>IF(COUNTIF(items_clean!$A:$A, D476)&gt;0, 1, 0)</f>
        <v>1</v>
      </c>
    </row>
    <row r="477" spans="1:9" x14ac:dyDescent="0.3">
      <c r="A477" s="1">
        <v>476</v>
      </c>
      <c r="B477" s="1" t="s">
        <v>682</v>
      </c>
      <c r="C477" s="4">
        <v>45339.477777777778</v>
      </c>
      <c r="D477" s="1" t="s">
        <v>265</v>
      </c>
      <c r="E477" s="3">
        <v>1</v>
      </c>
      <c r="F477" s="1" t="s">
        <v>442</v>
      </c>
      <c r="G477" s="1" t="s">
        <v>149</v>
      </c>
      <c r="H477" s="1" t="str">
        <f>IF(COUNTIF(items_clean!$A:$A, D477)&gt;0, "Valid", "Invalid")</f>
        <v>Invalid</v>
      </c>
      <c r="I477">
        <f>IF(COUNTIF(items_clean!$A:$A, D477)&gt;0, 1, 0)</f>
        <v>0</v>
      </c>
    </row>
    <row r="478" spans="1:9" x14ac:dyDescent="0.3">
      <c r="A478" s="1">
        <v>477</v>
      </c>
      <c r="B478" s="1" t="s">
        <v>683</v>
      </c>
      <c r="C478" s="4">
        <v>45339.488888888889</v>
      </c>
      <c r="D478" s="1" t="s">
        <v>119</v>
      </c>
      <c r="E478" s="3">
        <v>1</v>
      </c>
      <c r="F478" s="1" t="s">
        <v>444</v>
      </c>
      <c r="G478" s="1" t="s">
        <v>146</v>
      </c>
      <c r="H478" s="1" t="str">
        <f>IF(COUNTIF(items_clean!$A:$A, D478)&gt;0, "Valid", "Invalid")</f>
        <v>Valid</v>
      </c>
      <c r="I478">
        <f>IF(COUNTIF(items_clean!$A:$A, D478)&gt;0, 1, 0)</f>
        <v>1</v>
      </c>
    </row>
    <row r="479" spans="1:9" x14ac:dyDescent="0.3">
      <c r="A479" s="1">
        <v>478</v>
      </c>
      <c r="B479" s="1" t="s">
        <v>684</v>
      </c>
      <c r="C479" s="4">
        <v>45339.5</v>
      </c>
      <c r="D479" s="1" t="s">
        <v>132</v>
      </c>
      <c r="E479" s="3">
        <v>1</v>
      </c>
      <c r="F479" s="1" t="s">
        <v>446</v>
      </c>
      <c r="G479" s="1" t="s">
        <v>149</v>
      </c>
      <c r="H479" s="1" t="str">
        <f>IF(COUNTIF(items_clean!$A:$A, D479)&gt;0, "Valid", "Invalid")</f>
        <v>Valid</v>
      </c>
      <c r="I479">
        <f>IF(COUNTIF(items_clean!$A:$A, D479)&gt;0, 1, 0)</f>
        <v>1</v>
      </c>
    </row>
    <row r="480" spans="1:9" x14ac:dyDescent="0.3">
      <c r="A480" s="1">
        <v>479</v>
      </c>
      <c r="B480" s="1" t="s">
        <v>685</v>
      </c>
      <c r="C480" s="4">
        <v>45339.511111111111</v>
      </c>
      <c r="D480" s="1" t="s">
        <v>126</v>
      </c>
      <c r="E480" s="3">
        <v>1</v>
      </c>
      <c r="F480" s="1" t="s">
        <v>686</v>
      </c>
      <c r="G480" s="1" t="s">
        <v>146</v>
      </c>
      <c r="H480" s="1" t="str">
        <f>IF(COUNTIF(items_clean!$A:$A, D480)&gt;0, "Valid", "Invalid")</f>
        <v>Valid</v>
      </c>
      <c r="I480">
        <f>IF(COUNTIF(items_clean!$A:$A, D480)&gt;0, 1, 0)</f>
        <v>1</v>
      </c>
    </row>
    <row r="481" spans="1:9" x14ac:dyDescent="0.3">
      <c r="A481" s="1">
        <v>480</v>
      </c>
      <c r="B481" s="1" t="s">
        <v>687</v>
      </c>
      <c r="C481" s="4">
        <v>45339.5</v>
      </c>
      <c r="D481" s="1" t="s">
        <v>134</v>
      </c>
      <c r="E481" s="3">
        <v>1</v>
      </c>
      <c r="F481" s="1" t="s">
        <v>493</v>
      </c>
      <c r="G481" s="1" t="s">
        <v>149</v>
      </c>
      <c r="H481" s="1" t="str">
        <f>IF(COUNTIF(items_clean!$A:$A, D481)&gt;0, "Valid", "Invalid")</f>
        <v>Valid</v>
      </c>
      <c r="I481">
        <f>IF(COUNTIF(items_clean!$A:$A, D481)&gt;0, 1, 0)</f>
        <v>1</v>
      </c>
    </row>
    <row r="482" spans="1:9" x14ac:dyDescent="0.3">
      <c r="A482" s="1">
        <v>481</v>
      </c>
      <c r="B482" s="1" t="s">
        <v>688</v>
      </c>
      <c r="C482" s="4">
        <v>45339.504861111112</v>
      </c>
      <c r="D482" s="1" t="s">
        <v>104</v>
      </c>
      <c r="E482" s="3">
        <v>1</v>
      </c>
      <c r="F482" s="1" t="s">
        <v>564</v>
      </c>
      <c r="G482" s="1" t="s">
        <v>146</v>
      </c>
      <c r="H482" s="1" t="str">
        <f>IF(COUNTIF(items_clean!$A:$A, D482)&gt;0, "Valid", "Invalid")</f>
        <v>Valid</v>
      </c>
      <c r="I482">
        <f>IF(COUNTIF(items_clean!$A:$A, D482)&gt;0, 1, 0)</f>
        <v>1</v>
      </c>
    </row>
    <row r="483" spans="1:9" x14ac:dyDescent="0.3">
      <c r="A483" s="1">
        <v>482</v>
      </c>
      <c r="B483" s="1" t="s">
        <v>688</v>
      </c>
      <c r="C483" s="4">
        <v>45339.504861111112</v>
      </c>
      <c r="D483" s="1" t="s">
        <v>108</v>
      </c>
      <c r="E483" s="3">
        <v>1</v>
      </c>
      <c r="F483" s="1" t="s">
        <v>564</v>
      </c>
      <c r="G483" s="1" t="s">
        <v>778</v>
      </c>
      <c r="H483" s="1" t="str">
        <f>IF(COUNTIF(items_clean!$A:$A, D483)&gt;0, "Valid", "Invalid")</f>
        <v>Valid</v>
      </c>
      <c r="I483">
        <f>IF(COUNTIF(items_clean!$A:$A, D483)&gt;0, 1, 0)</f>
        <v>1</v>
      </c>
    </row>
    <row r="484" spans="1:9" x14ac:dyDescent="0.3">
      <c r="A484" s="1">
        <v>483</v>
      </c>
      <c r="B484" s="1" t="s">
        <v>689</v>
      </c>
      <c r="C484" s="4">
        <v>45339.509722222225</v>
      </c>
      <c r="D484" s="1" t="s">
        <v>128</v>
      </c>
      <c r="E484" s="3">
        <v>1</v>
      </c>
      <c r="F484" s="1" t="s">
        <v>566</v>
      </c>
      <c r="G484" s="1" t="s">
        <v>149</v>
      </c>
      <c r="H484" s="1" t="str">
        <f>IF(COUNTIF(items_clean!$A:$A, D484)&gt;0, "Valid", "Invalid")</f>
        <v>Valid</v>
      </c>
      <c r="I484">
        <f>IF(COUNTIF(items_clean!$A:$A, D484)&gt;0, 1, 0)</f>
        <v>1</v>
      </c>
    </row>
    <row r="485" spans="1:9" x14ac:dyDescent="0.3">
      <c r="A485" s="1">
        <v>484</v>
      </c>
      <c r="B485" s="1" t="s">
        <v>690</v>
      </c>
      <c r="C485" s="4">
        <v>45339.51458333333</v>
      </c>
      <c r="D485" s="1" t="s">
        <v>116</v>
      </c>
      <c r="E485" s="3">
        <v>1</v>
      </c>
      <c r="F485" s="1" t="s">
        <v>455</v>
      </c>
      <c r="G485" s="1" t="s">
        <v>146</v>
      </c>
      <c r="H485" s="1" t="str">
        <f>IF(COUNTIF(items_clean!$A:$A, D485)&gt;0, "Valid", "Invalid")</f>
        <v>Valid</v>
      </c>
      <c r="I485">
        <f>IF(COUNTIF(items_clean!$A:$A, D485)&gt;0, 1, 0)</f>
        <v>1</v>
      </c>
    </row>
    <row r="486" spans="1:9" x14ac:dyDescent="0.3">
      <c r="A486" s="1">
        <v>485</v>
      </c>
      <c r="B486" s="1" t="s">
        <v>691</v>
      </c>
      <c r="C486" s="4">
        <v>45339.519444444442</v>
      </c>
      <c r="D486" s="1" t="s">
        <v>135</v>
      </c>
      <c r="E486" s="3">
        <v>1</v>
      </c>
      <c r="F486" s="1" t="s">
        <v>457</v>
      </c>
      <c r="G486" s="1" t="s">
        <v>149</v>
      </c>
      <c r="H486" s="1" t="str">
        <f>IF(COUNTIF(items_clean!$A:$A, D486)&gt;0, "Valid", "Invalid")</f>
        <v>Valid</v>
      </c>
      <c r="I486">
        <f>IF(COUNTIF(items_clean!$A:$A, D486)&gt;0, 1, 0)</f>
        <v>1</v>
      </c>
    </row>
    <row r="487" spans="1:9" x14ac:dyDescent="0.3">
      <c r="A487" s="1">
        <v>486</v>
      </c>
      <c r="B487" s="1" t="s">
        <v>691</v>
      </c>
      <c r="C487" s="4">
        <v>45339.519444444442</v>
      </c>
      <c r="D487" s="1" t="s">
        <v>278</v>
      </c>
      <c r="E487" s="3">
        <v>1</v>
      </c>
      <c r="F487" s="1" t="s">
        <v>457</v>
      </c>
      <c r="G487" s="1" t="s">
        <v>778</v>
      </c>
      <c r="H487" s="1" t="str">
        <f>IF(COUNTIF(items_clean!$A:$A, D487)&gt;0, "Valid", "Invalid")</f>
        <v>Invalid</v>
      </c>
      <c r="I487">
        <f>IF(COUNTIF(items_clean!$A:$A, D487)&gt;0, 1, 0)</f>
        <v>0</v>
      </c>
    </row>
    <row r="488" spans="1:9" x14ac:dyDescent="0.3">
      <c r="A488" s="1">
        <v>487</v>
      </c>
      <c r="B488" s="1" t="s">
        <v>692</v>
      </c>
      <c r="C488" s="4">
        <v>45339.524305555555</v>
      </c>
      <c r="D488" s="1" t="s">
        <v>113</v>
      </c>
      <c r="E488" s="3">
        <v>1</v>
      </c>
      <c r="F488" s="1" t="s">
        <v>459</v>
      </c>
      <c r="G488" s="1" t="s">
        <v>146</v>
      </c>
      <c r="H488" s="1" t="str">
        <f>IF(COUNTIF(items_clean!$A:$A, D488)&gt;0, "Valid", "Invalid")</f>
        <v>Valid</v>
      </c>
      <c r="I488">
        <f>IF(COUNTIF(items_clean!$A:$A, D488)&gt;0, 1, 0)</f>
        <v>1</v>
      </c>
    </row>
    <row r="489" spans="1:9" x14ac:dyDescent="0.3">
      <c r="A489" s="1">
        <v>488</v>
      </c>
      <c r="B489" s="1" t="s">
        <v>693</v>
      </c>
      <c r="C489" s="4">
        <v>45339.529166666667</v>
      </c>
      <c r="D489" s="1" t="s">
        <v>122</v>
      </c>
      <c r="E489" s="3">
        <v>1</v>
      </c>
      <c r="F489" s="1" t="s">
        <v>461</v>
      </c>
      <c r="G489" s="1" t="s">
        <v>149</v>
      </c>
      <c r="H489" s="1" t="str">
        <f>IF(COUNTIF(items_clean!$A:$A, D489)&gt;0, "Valid", "Invalid")</f>
        <v>Valid</v>
      </c>
      <c r="I489">
        <f>IF(COUNTIF(items_clean!$A:$A, D489)&gt;0, 1, 0)</f>
        <v>1</v>
      </c>
    </row>
    <row r="490" spans="1:9" x14ac:dyDescent="0.3">
      <c r="A490" s="1">
        <v>489</v>
      </c>
      <c r="B490" s="1" t="s">
        <v>694</v>
      </c>
      <c r="C490" s="4">
        <v>45339.53402777778</v>
      </c>
      <c r="D490" s="1" t="s">
        <v>265</v>
      </c>
      <c r="E490" s="3">
        <v>1</v>
      </c>
      <c r="F490" s="1" t="s">
        <v>695</v>
      </c>
      <c r="G490" s="1" t="s">
        <v>146</v>
      </c>
      <c r="H490" s="1" t="str">
        <f>IF(COUNTIF(items_clean!$A:$A, D490)&gt;0, "Valid", "Invalid")</f>
        <v>Invalid</v>
      </c>
      <c r="I490">
        <f>IF(COUNTIF(items_clean!$A:$A, D490)&gt;0, 1, 0)</f>
        <v>0</v>
      </c>
    </row>
    <row r="491" spans="1:9" x14ac:dyDescent="0.3">
      <c r="A491" s="1">
        <v>490</v>
      </c>
      <c r="B491" s="1" t="s">
        <v>696</v>
      </c>
      <c r="C491" s="4">
        <v>45339.538888888892</v>
      </c>
      <c r="D491" s="1" t="s">
        <v>102</v>
      </c>
      <c r="E491" s="3">
        <v>1</v>
      </c>
      <c r="F491" s="1" t="s">
        <v>163</v>
      </c>
      <c r="G491" s="1" t="s">
        <v>149</v>
      </c>
      <c r="H491" s="1" t="str">
        <f>IF(COUNTIF(items_clean!$A:$A, D491)&gt;0, "Valid", "Invalid")</f>
        <v>Valid</v>
      </c>
      <c r="I491">
        <f>IF(COUNTIF(items_clean!$A:$A, D491)&gt;0, 1, 0)</f>
        <v>1</v>
      </c>
    </row>
    <row r="492" spans="1:9" x14ac:dyDescent="0.3">
      <c r="A492" s="1">
        <v>491</v>
      </c>
      <c r="B492" s="1" t="s">
        <v>697</v>
      </c>
      <c r="C492" s="4">
        <v>45339.543749999997</v>
      </c>
      <c r="D492" s="1" t="s">
        <v>131</v>
      </c>
      <c r="E492" s="3">
        <v>1</v>
      </c>
      <c r="F492" s="1" t="s">
        <v>424</v>
      </c>
      <c r="G492" s="1" t="s">
        <v>146</v>
      </c>
      <c r="H492" s="1" t="str">
        <f>IF(COUNTIF(items_clean!$A:$A, D492)&gt;0, "Valid", "Invalid")</f>
        <v>Valid</v>
      </c>
      <c r="I492">
        <f>IF(COUNTIF(items_clean!$A:$A, D492)&gt;0, 1, 0)</f>
        <v>1</v>
      </c>
    </row>
    <row r="493" spans="1:9" x14ac:dyDescent="0.3">
      <c r="A493" s="1">
        <v>492</v>
      </c>
      <c r="B493" s="1" t="s">
        <v>697</v>
      </c>
      <c r="C493" s="4">
        <v>45339.543749999997</v>
      </c>
      <c r="D493" s="1" t="s">
        <v>121</v>
      </c>
      <c r="E493" s="3">
        <v>1</v>
      </c>
      <c r="F493" s="1" t="s">
        <v>424</v>
      </c>
      <c r="G493" s="1" t="s">
        <v>778</v>
      </c>
      <c r="H493" s="1" t="str">
        <f>IF(COUNTIF(items_clean!$A:$A, D493)&gt;0, "Valid", "Invalid")</f>
        <v>Valid</v>
      </c>
      <c r="I493">
        <f>IF(COUNTIF(items_clean!$A:$A, D493)&gt;0, 1, 0)</f>
        <v>1</v>
      </c>
    </row>
    <row r="494" spans="1:9" x14ac:dyDescent="0.3">
      <c r="A494" s="1">
        <v>493</v>
      </c>
      <c r="B494" s="1" t="s">
        <v>698</v>
      </c>
      <c r="C494" s="4">
        <v>45339.548611111109</v>
      </c>
      <c r="D494" s="1" t="s">
        <v>96</v>
      </c>
      <c r="E494" s="3">
        <v>1</v>
      </c>
      <c r="F494" s="1" t="s">
        <v>249</v>
      </c>
      <c r="G494" s="1" t="s">
        <v>149</v>
      </c>
      <c r="H494" s="1" t="str">
        <f>IF(COUNTIF(items_clean!$A:$A, D494)&gt;0, "Valid", "Invalid")</f>
        <v>Valid</v>
      </c>
      <c r="I494">
        <f>IF(COUNTIF(items_clean!$A:$A, D494)&gt;0, 1, 0)</f>
        <v>1</v>
      </c>
    </row>
    <row r="495" spans="1:9" x14ac:dyDescent="0.3">
      <c r="A495" s="1">
        <v>494</v>
      </c>
      <c r="B495" s="1" t="s">
        <v>699</v>
      </c>
      <c r="C495" s="4">
        <v>45339.553472222222</v>
      </c>
      <c r="D495" s="1" t="s">
        <v>111</v>
      </c>
      <c r="E495" s="3">
        <v>1</v>
      </c>
      <c r="F495" s="1" t="s">
        <v>428</v>
      </c>
      <c r="G495" s="1" t="s">
        <v>146</v>
      </c>
      <c r="H495" s="1" t="str">
        <f>IF(COUNTIF(items_clean!$A:$A, D495)&gt;0, "Valid", "Invalid")</f>
        <v>Valid</v>
      </c>
      <c r="I495">
        <f>IF(COUNTIF(items_clean!$A:$A, D495)&gt;0, 1, 0)</f>
        <v>1</v>
      </c>
    </row>
    <row r="496" spans="1:9" x14ac:dyDescent="0.3">
      <c r="A496" s="1">
        <v>495</v>
      </c>
      <c r="B496" s="1" t="s">
        <v>700</v>
      </c>
      <c r="C496" s="4">
        <v>45339.558333333334</v>
      </c>
      <c r="D496" s="1" t="s">
        <v>126</v>
      </c>
      <c r="E496" s="3">
        <v>1</v>
      </c>
      <c r="F496" s="1" t="s">
        <v>430</v>
      </c>
      <c r="G496" s="1" t="s">
        <v>149</v>
      </c>
      <c r="H496" s="1" t="str">
        <f>IF(COUNTIF(items_clean!$A:$A, D496)&gt;0, "Valid", "Invalid")</f>
        <v>Valid</v>
      </c>
      <c r="I496">
        <f>IF(COUNTIF(items_clean!$A:$A, D496)&gt;0, 1, 0)</f>
        <v>1</v>
      </c>
    </row>
    <row r="497" spans="1:9" x14ac:dyDescent="0.3">
      <c r="A497" s="1">
        <v>496</v>
      </c>
      <c r="B497" s="1" t="s">
        <v>701</v>
      </c>
      <c r="C497" s="4">
        <v>45339.563194444447</v>
      </c>
      <c r="D497" s="1" t="s">
        <v>105</v>
      </c>
      <c r="E497" s="3">
        <v>1</v>
      </c>
      <c r="F497" s="1" t="s">
        <v>702</v>
      </c>
      <c r="G497" s="1" t="s">
        <v>146</v>
      </c>
      <c r="H497" s="1" t="str">
        <f>IF(COUNTIF(items_clean!$A:$A, D497)&gt;0, "Valid", "Invalid")</f>
        <v>Valid</v>
      </c>
      <c r="I497">
        <f>IF(COUNTIF(items_clean!$A:$A, D497)&gt;0, 1, 0)</f>
        <v>1</v>
      </c>
    </row>
    <row r="498" spans="1:9" x14ac:dyDescent="0.3">
      <c r="A498" s="1">
        <v>497</v>
      </c>
      <c r="B498" s="1" t="s">
        <v>703</v>
      </c>
      <c r="C498" s="4">
        <v>45339.568055555559</v>
      </c>
      <c r="D498" s="1" t="s">
        <v>118</v>
      </c>
      <c r="E498" s="3">
        <v>1</v>
      </c>
      <c r="F498" s="1" t="s">
        <v>434</v>
      </c>
      <c r="G498" s="1" t="s">
        <v>149</v>
      </c>
      <c r="H498" s="1" t="str">
        <f>IF(COUNTIF(items_clean!$A:$A, D498)&gt;0, "Valid", "Invalid")</f>
        <v>Valid</v>
      </c>
      <c r="I498">
        <f>IF(COUNTIF(items_clean!$A:$A, D498)&gt;0, 1, 0)</f>
        <v>1</v>
      </c>
    </row>
    <row r="499" spans="1:9" x14ac:dyDescent="0.3">
      <c r="A499" s="1">
        <v>498</v>
      </c>
      <c r="B499" s="1" t="s">
        <v>703</v>
      </c>
      <c r="C499" s="4">
        <v>45339.568055555559</v>
      </c>
      <c r="D499" s="1" t="s">
        <v>138</v>
      </c>
      <c r="E499" s="3">
        <v>1</v>
      </c>
      <c r="F499" s="1" t="s">
        <v>434</v>
      </c>
      <c r="G499" s="1" t="s">
        <v>778</v>
      </c>
      <c r="H499" s="1" t="str">
        <f>IF(COUNTIF(items_clean!$A:$A, D499)&gt;0, "Valid", "Invalid")</f>
        <v>Valid</v>
      </c>
      <c r="I499">
        <f>IF(COUNTIF(items_clean!$A:$A, D499)&gt;0, 1, 0)</f>
        <v>1</v>
      </c>
    </row>
    <row r="500" spans="1:9" x14ac:dyDescent="0.3">
      <c r="A500" s="1">
        <v>499</v>
      </c>
      <c r="B500" s="1" t="s">
        <v>704</v>
      </c>
      <c r="C500" s="4">
        <v>45339.572916666664</v>
      </c>
      <c r="D500" s="1" t="s">
        <v>115</v>
      </c>
      <c r="E500" s="3">
        <v>1</v>
      </c>
      <c r="F500" s="1" t="s">
        <v>472</v>
      </c>
      <c r="G500" s="1" t="s">
        <v>146</v>
      </c>
      <c r="H500" s="1" t="str">
        <f>IF(COUNTIF(items_clean!$A:$A, D500)&gt;0, "Valid", "Invalid")</f>
        <v>Valid</v>
      </c>
      <c r="I500">
        <f>IF(COUNTIF(items_clean!$A:$A, D500)&gt;0, 1, 0)</f>
        <v>1</v>
      </c>
    </row>
    <row r="501" spans="1:9" x14ac:dyDescent="0.3">
      <c r="A501" s="1">
        <v>500</v>
      </c>
      <c r="B501" s="1" t="s">
        <v>705</v>
      </c>
      <c r="C501" s="4">
        <v>45339.577777777777</v>
      </c>
      <c r="D501" s="1" t="s">
        <v>272</v>
      </c>
      <c r="E501" s="3">
        <v>1</v>
      </c>
      <c r="F501" s="1" t="s">
        <v>706</v>
      </c>
      <c r="G501" s="1" t="s">
        <v>149</v>
      </c>
      <c r="H501" s="1" t="str">
        <f>IF(COUNTIF(items_clean!$A:$A, D501)&gt;0, "Valid", "Invalid")</f>
        <v>Invalid</v>
      </c>
      <c r="I501">
        <f>IF(COUNTIF(items_clean!$A:$A, D501)&gt;0, 1, 0)</f>
        <v>0</v>
      </c>
    </row>
    <row r="502" spans="1:9" x14ac:dyDescent="0.3">
      <c r="A502" s="1">
        <v>501</v>
      </c>
      <c r="B502" s="1" t="s">
        <v>707</v>
      </c>
      <c r="C502" s="4">
        <v>45339.582638888889</v>
      </c>
      <c r="D502" s="1" t="s">
        <v>129</v>
      </c>
      <c r="E502" s="3">
        <v>1</v>
      </c>
      <c r="F502" s="1" t="s">
        <v>546</v>
      </c>
      <c r="G502" s="1" t="s">
        <v>146</v>
      </c>
      <c r="H502" s="1" t="str">
        <f>IF(COUNTIF(items_clean!$A:$A, D502)&gt;0, "Valid", "Invalid")</f>
        <v>Valid</v>
      </c>
      <c r="I502">
        <f>IF(COUNTIF(items_clean!$A:$A, D502)&gt;0, 1, 0)</f>
        <v>1</v>
      </c>
    </row>
    <row r="503" spans="1:9" x14ac:dyDescent="0.3">
      <c r="A503" s="1">
        <v>502</v>
      </c>
      <c r="B503" s="1" t="s">
        <v>708</v>
      </c>
      <c r="C503" s="4">
        <v>45339.587500000001</v>
      </c>
      <c r="D503" s="1" t="s">
        <v>110</v>
      </c>
      <c r="E503" s="3">
        <v>1</v>
      </c>
      <c r="F503" s="1" t="s">
        <v>590</v>
      </c>
      <c r="G503" s="1" t="s">
        <v>149</v>
      </c>
      <c r="H503" s="1" t="str">
        <f>IF(COUNTIF(items_clean!$A:$A, D503)&gt;0, "Valid", "Invalid")</f>
        <v>Valid</v>
      </c>
      <c r="I503">
        <f>IF(COUNTIF(items_clean!$A:$A, D503)&gt;0, 1, 0)</f>
        <v>1</v>
      </c>
    </row>
    <row r="504" spans="1:9" x14ac:dyDescent="0.3">
      <c r="A504" s="1">
        <v>503</v>
      </c>
      <c r="B504" s="1" t="s">
        <v>709</v>
      </c>
      <c r="C504" s="4">
        <v>45339.592361111114</v>
      </c>
      <c r="D504" s="1" t="s">
        <v>100</v>
      </c>
      <c r="E504" s="3">
        <v>1</v>
      </c>
      <c r="F504" s="1" t="s">
        <v>480</v>
      </c>
      <c r="G504" s="1" t="s">
        <v>146</v>
      </c>
      <c r="H504" s="1" t="str">
        <f>IF(COUNTIF(items_clean!$A:$A, D504)&gt;0, "Valid", "Invalid")</f>
        <v>Valid</v>
      </c>
      <c r="I504">
        <f>IF(COUNTIF(items_clean!$A:$A, D504)&gt;0, 1, 0)</f>
        <v>1</v>
      </c>
    </row>
    <row r="505" spans="1:9" x14ac:dyDescent="0.3">
      <c r="A505" s="1">
        <v>504</v>
      </c>
      <c r="B505" s="1" t="s">
        <v>710</v>
      </c>
      <c r="C505" s="4">
        <v>45339.597222222219</v>
      </c>
      <c r="D505" s="1" t="s">
        <v>119</v>
      </c>
      <c r="E505" s="3">
        <v>1</v>
      </c>
      <c r="F505" s="1" t="s">
        <v>711</v>
      </c>
      <c r="G505" s="1" t="s">
        <v>149</v>
      </c>
      <c r="H505" s="1" t="str">
        <f>IF(COUNTIF(items_clean!$A:$A, D505)&gt;0, "Valid", "Invalid")</f>
        <v>Valid</v>
      </c>
      <c r="I505">
        <f>IF(COUNTIF(items_clean!$A:$A, D505)&gt;0, 1, 0)</f>
        <v>1</v>
      </c>
    </row>
    <row r="506" spans="1:9" x14ac:dyDescent="0.3">
      <c r="A506" s="1">
        <v>505</v>
      </c>
      <c r="B506" s="1" t="s">
        <v>712</v>
      </c>
      <c r="C506" s="4">
        <v>45339.602083333331</v>
      </c>
      <c r="D506" s="1" t="s">
        <v>132</v>
      </c>
      <c r="E506" s="3">
        <v>1</v>
      </c>
      <c r="F506" s="1" t="s">
        <v>484</v>
      </c>
      <c r="G506" s="1" t="s">
        <v>146</v>
      </c>
      <c r="H506" s="1" t="str">
        <f>IF(COUNTIF(items_clean!$A:$A, D506)&gt;0, "Valid", "Invalid")</f>
        <v>Valid</v>
      </c>
      <c r="I506">
        <f>IF(COUNTIF(items_clean!$A:$A, D506)&gt;0, 1, 0)</f>
        <v>1</v>
      </c>
    </row>
    <row r="507" spans="1:9" x14ac:dyDescent="0.3">
      <c r="A507" s="1">
        <v>506</v>
      </c>
      <c r="B507" s="1" t="s">
        <v>712</v>
      </c>
      <c r="C507" s="4">
        <v>45339.602083333331</v>
      </c>
      <c r="D507" s="1" t="s">
        <v>125</v>
      </c>
      <c r="E507" s="3">
        <v>1</v>
      </c>
      <c r="F507" s="1" t="s">
        <v>484</v>
      </c>
      <c r="G507" s="1" t="s">
        <v>778</v>
      </c>
      <c r="H507" s="1" t="str">
        <f>IF(COUNTIF(items_clean!$A:$A, D507)&gt;0, "Valid", "Invalid")</f>
        <v>Valid</v>
      </c>
      <c r="I507">
        <f>IF(COUNTIF(items_clean!$A:$A, D507)&gt;0, 1, 0)</f>
        <v>1</v>
      </c>
    </row>
    <row r="508" spans="1:9" x14ac:dyDescent="0.3">
      <c r="A508" s="1">
        <v>507</v>
      </c>
      <c r="B508" s="1" t="s">
        <v>713</v>
      </c>
      <c r="C508" s="4">
        <v>45339.606944444444</v>
      </c>
      <c r="D508" s="1" t="s">
        <v>254</v>
      </c>
      <c r="E508" s="3">
        <v>1</v>
      </c>
      <c r="F508" s="1" t="s">
        <v>714</v>
      </c>
      <c r="G508" s="1" t="s">
        <v>149</v>
      </c>
      <c r="H508" s="1" t="str">
        <f>IF(COUNTIF(items_clean!$A:$A, D508)&gt;0, "Valid", "Invalid")</f>
        <v>Invalid</v>
      </c>
      <c r="I508">
        <f>IF(COUNTIF(items_clean!$A:$A, D508)&gt;0, 1, 0)</f>
        <v>0</v>
      </c>
    </row>
    <row r="509" spans="1:9" x14ac:dyDescent="0.3">
      <c r="A509" s="1">
        <v>508</v>
      </c>
      <c r="B509" s="1" t="s">
        <v>715</v>
      </c>
      <c r="C509" s="4">
        <v>45339.611805555556</v>
      </c>
      <c r="D509" s="1" t="s">
        <v>113</v>
      </c>
      <c r="E509" s="3">
        <v>1</v>
      </c>
      <c r="F509" s="1" t="s">
        <v>716</v>
      </c>
      <c r="G509" s="1" t="s">
        <v>146</v>
      </c>
      <c r="H509" s="1" t="str">
        <f>IF(COUNTIF(items_clean!$A:$A, D509)&gt;0, "Valid", "Invalid")</f>
        <v>Valid</v>
      </c>
      <c r="I509">
        <f>IF(COUNTIF(items_clean!$A:$A, D509)&gt;0, 1, 0)</f>
        <v>1</v>
      </c>
    </row>
    <row r="510" spans="1:9" x14ac:dyDescent="0.3">
      <c r="A510" s="1">
        <v>509</v>
      </c>
      <c r="B510" s="1" t="s">
        <v>717</v>
      </c>
      <c r="C510" s="4">
        <v>45339.616666666669</v>
      </c>
      <c r="D510" s="1" t="s">
        <v>108</v>
      </c>
      <c r="E510" s="3">
        <v>1</v>
      </c>
      <c r="F510" s="1" t="s">
        <v>558</v>
      </c>
      <c r="G510" s="1" t="s">
        <v>149</v>
      </c>
      <c r="H510" s="1" t="str">
        <f>IF(COUNTIF(items_clean!$A:$A, D510)&gt;0, "Valid", "Invalid")</f>
        <v>Valid</v>
      </c>
      <c r="I510">
        <f>IF(COUNTIF(items_clean!$A:$A, D510)&gt;0, 1, 0)</f>
        <v>1</v>
      </c>
    </row>
    <row r="511" spans="1:9" x14ac:dyDescent="0.3">
      <c r="A511" s="1">
        <v>510</v>
      </c>
      <c r="B511" s="1" t="s">
        <v>718</v>
      </c>
      <c r="C511" s="4">
        <v>45339.621527777781</v>
      </c>
      <c r="D511" s="1" t="s">
        <v>135</v>
      </c>
      <c r="E511" s="3">
        <v>1</v>
      </c>
      <c r="F511" s="1" t="s">
        <v>719</v>
      </c>
      <c r="G511" s="1" t="s">
        <v>146</v>
      </c>
      <c r="H511" s="1" t="str">
        <f>IF(COUNTIF(items_clean!$A:$A, D511)&gt;0, "Valid", "Invalid")</f>
        <v>Valid</v>
      </c>
      <c r="I511">
        <f>IF(COUNTIF(items_clean!$A:$A, D511)&gt;0, 1, 0)</f>
        <v>1</v>
      </c>
    </row>
    <row r="512" spans="1:9" x14ac:dyDescent="0.3">
      <c r="A512" s="1">
        <v>511</v>
      </c>
      <c r="B512" s="1" t="s">
        <v>720</v>
      </c>
      <c r="C512" s="4">
        <v>45339.626388888886</v>
      </c>
      <c r="D512" s="1" t="s">
        <v>128</v>
      </c>
      <c r="E512" s="3">
        <v>1</v>
      </c>
      <c r="F512" s="1" t="s">
        <v>562</v>
      </c>
      <c r="G512" s="1" t="s">
        <v>149</v>
      </c>
      <c r="H512" s="1" t="str">
        <f>IF(COUNTIF(items_clean!$A:$A, D512)&gt;0, "Valid", "Invalid")</f>
        <v>Valid</v>
      </c>
      <c r="I512">
        <f>IF(COUNTIF(items_clean!$A:$A, D512)&gt;0, 1, 0)</f>
        <v>1</v>
      </c>
    </row>
    <row r="513" spans="1:9" x14ac:dyDescent="0.3">
      <c r="A513" s="1">
        <v>512</v>
      </c>
      <c r="B513" s="1" t="s">
        <v>720</v>
      </c>
      <c r="C513" s="4">
        <v>45339.626388888886</v>
      </c>
      <c r="D513" s="1" t="s">
        <v>116</v>
      </c>
      <c r="E513" s="3">
        <v>1</v>
      </c>
      <c r="F513" s="1" t="s">
        <v>562</v>
      </c>
      <c r="G513" s="1" t="s">
        <v>778</v>
      </c>
      <c r="H513" s="1" t="str">
        <f>IF(COUNTIF(items_clean!$A:$A, D513)&gt;0, "Valid", "Invalid")</f>
        <v>Valid</v>
      </c>
      <c r="I513">
        <f>IF(COUNTIF(items_clean!$A:$A, D513)&gt;0, 1, 0)</f>
        <v>1</v>
      </c>
    </row>
    <row r="514" spans="1:9" x14ac:dyDescent="0.3">
      <c r="A514" s="1">
        <v>513</v>
      </c>
      <c r="B514" s="1" t="s">
        <v>721</v>
      </c>
      <c r="C514" s="4">
        <v>45339.640972222223</v>
      </c>
      <c r="D514" s="1" t="s">
        <v>122</v>
      </c>
      <c r="E514" s="3">
        <v>1</v>
      </c>
      <c r="F514" s="1" t="s">
        <v>498</v>
      </c>
      <c r="G514" s="1" t="s">
        <v>146</v>
      </c>
      <c r="H514" s="1" t="str">
        <f>IF(COUNTIF(items_clean!$A:$A, D514)&gt;0, "Valid", "Invalid")</f>
        <v>Valid</v>
      </c>
      <c r="I514">
        <f>IF(COUNTIF(items_clean!$A:$A, D514)&gt;0, 1, 0)</f>
        <v>1</v>
      </c>
    </row>
    <row r="515" spans="1:9" x14ac:dyDescent="0.3">
      <c r="A515" s="1">
        <v>514</v>
      </c>
      <c r="B515" s="1" t="s">
        <v>722</v>
      </c>
      <c r="C515" s="4">
        <v>45339.652083333334</v>
      </c>
      <c r="D515" s="1" t="s">
        <v>265</v>
      </c>
      <c r="E515" s="3">
        <v>1</v>
      </c>
      <c r="F515" s="1" t="s">
        <v>457</v>
      </c>
      <c r="G515" s="1" t="s">
        <v>149</v>
      </c>
      <c r="H515" s="1" t="str">
        <f>IF(COUNTIF(items_clean!$A:$A, D515)&gt;0, "Valid", "Invalid")</f>
        <v>Invalid</v>
      </c>
      <c r="I515">
        <f>IF(COUNTIF(items_clean!$A:$A, D515)&gt;0, 1, 0)</f>
        <v>0</v>
      </c>
    </row>
    <row r="516" spans="1:9" x14ac:dyDescent="0.3">
      <c r="A516" s="1">
        <v>515</v>
      </c>
      <c r="B516" s="1" t="s">
        <v>723</v>
      </c>
      <c r="C516" s="4">
        <v>45339.663194444445</v>
      </c>
      <c r="D516" s="1" t="s">
        <v>113</v>
      </c>
      <c r="E516" s="3">
        <v>1</v>
      </c>
      <c r="F516" s="1" t="s">
        <v>716</v>
      </c>
      <c r="G516" s="1" t="s">
        <v>146</v>
      </c>
      <c r="H516" s="1" t="str">
        <f>IF(COUNTIF(items_clean!$A:$A, D516)&gt;0, "Valid", "Invalid")</f>
        <v>Valid</v>
      </c>
      <c r="I516">
        <f>IF(COUNTIF(items_clean!$A:$A, D516)&gt;0, 1, 0)</f>
        <v>1</v>
      </c>
    </row>
    <row r="517" spans="1:9" x14ac:dyDescent="0.3">
      <c r="A517" s="1">
        <v>516</v>
      </c>
      <c r="B517" s="1" t="s">
        <v>724</v>
      </c>
      <c r="C517" s="4">
        <v>45339.674305555556</v>
      </c>
      <c r="D517" s="1" t="s">
        <v>135</v>
      </c>
      <c r="E517" s="3">
        <v>1</v>
      </c>
      <c r="F517" s="1" t="s">
        <v>558</v>
      </c>
      <c r="G517" s="1" t="s">
        <v>149</v>
      </c>
      <c r="H517" s="1" t="str">
        <f>IF(COUNTIF(items_clean!$A:$A, D517)&gt;0, "Valid", "Invalid")</f>
        <v>Valid</v>
      </c>
      <c r="I517">
        <f>IF(COUNTIF(items_clean!$A:$A, D517)&gt;0, 1, 0)</f>
        <v>1</v>
      </c>
    </row>
    <row r="518" spans="1:9" x14ac:dyDescent="0.3">
      <c r="A518" s="1">
        <v>517</v>
      </c>
      <c r="B518" s="1" t="s">
        <v>725</v>
      </c>
      <c r="C518" s="4">
        <v>45339.685416666667</v>
      </c>
      <c r="D518" s="1" t="s">
        <v>108</v>
      </c>
      <c r="E518" s="3">
        <v>1</v>
      </c>
      <c r="F518" s="1" t="s">
        <v>719</v>
      </c>
      <c r="G518" s="1" t="s">
        <v>146</v>
      </c>
      <c r="H518" s="1" t="str">
        <f>IF(COUNTIF(items_clean!$A:$A, D518)&gt;0, "Valid", "Invalid")</f>
        <v>Valid</v>
      </c>
      <c r="I518">
        <f>IF(COUNTIF(items_clean!$A:$A, D518)&gt;0, 1, 0)</f>
        <v>1</v>
      </c>
    </row>
    <row r="519" spans="1:9" x14ac:dyDescent="0.3">
      <c r="A519" s="1">
        <v>518</v>
      </c>
      <c r="B519" s="1" t="s">
        <v>726</v>
      </c>
      <c r="C519" s="4">
        <v>45339.696527777778</v>
      </c>
      <c r="D519" s="1" t="s">
        <v>128</v>
      </c>
      <c r="E519" s="3">
        <v>1</v>
      </c>
      <c r="F519" s="1" t="s">
        <v>562</v>
      </c>
      <c r="G519" s="1" t="s">
        <v>149</v>
      </c>
      <c r="H519" s="1" t="str">
        <f>IF(COUNTIF(items_clean!$A:$A, D519)&gt;0, "Valid", "Invalid")</f>
        <v>Valid</v>
      </c>
      <c r="I519">
        <f>IF(COUNTIF(items_clean!$A:$A, D519)&gt;0, 1, 0)</f>
        <v>1</v>
      </c>
    </row>
    <row r="520" spans="1:9" x14ac:dyDescent="0.3">
      <c r="A520" s="1">
        <v>519</v>
      </c>
      <c r="B520" s="1" t="s">
        <v>727</v>
      </c>
      <c r="C520" s="4">
        <v>45339.707638888889</v>
      </c>
      <c r="D520" s="1" t="s">
        <v>100</v>
      </c>
      <c r="E520" s="3">
        <v>1</v>
      </c>
      <c r="F520" s="1" t="s">
        <v>564</v>
      </c>
      <c r="G520" s="1" t="s">
        <v>146</v>
      </c>
      <c r="H520" s="1" t="str">
        <f>IF(COUNTIF(items_clean!$A:$A, D520)&gt;0, "Valid", "Invalid")</f>
        <v>Valid</v>
      </c>
      <c r="I520">
        <f>IF(COUNTIF(items_clean!$A:$A, D520)&gt;0, 1, 0)</f>
        <v>1</v>
      </c>
    </row>
    <row r="521" spans="1:9" x14ac:dyDescent="0.3">
      <c r="A521" s="1">
        <v>520</v>
      </c>
      <c r="B521" s="1" t="s">
        <v>728</v>
      </c>
      <c r="C521" s="4">
        <v>45339.708333333336</v>
      </c>
      <c r="D521" s="1" t="s">
        <v>272</v>
      </c>
      <c r="E521" s="3">
        <v>1</v>
      </c>
      <c r="F521" s="1" t="s">
        <v>566</v>
      </c>
      <c r="G521" s="1" t="s">
        <v>149</v>
      </c>
      <c r="H521" s="1" t="str">
        <f>IF(COUNTIF(items_clean!$A:$A, D521)&gt;0, "Valid", "Invalid")</f>
        <v>Invalid</v>
      </c>
      <c r="I521">
        <f>IF(COUNTIF(items_clean!$A:$A, D521)&gt;0, 1, 0)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5DBDA-9C9A-412A-8079-1921387D8D39}">
  <dimension ref="A1:E19"/>
  <sheetViews>
    <sheetView workbookViewId="0">
      <selection activeCell="D18" sqref="A1:E19"/>
    </sheetView>
  </sheetViews>
  <sheetFormatPr defaultRowHeight="14.4" x14ac:dyDescent="0.3"/>
  <cols>
    <col min="1" max="1" width="6.6640625" style="1" bestFit="1" customWidth="1"/>
    <col min="2" max="2" width="6.88671875" style="1" bestFit="1" customWidth="1"/>
    <col min="3" max="3" width="10.33203125" style="5" bestFit="1" customWidth="1"/>
    <col min="4" max="4" width="7" style="1" bestFit="1" customWidth="1"/>
    <col min="5" max="5" width="7.21875" style="1" bestFit="1" customWidth="1"/>
  </cols>
  <sheetData>
    <row r="1" spans="1:5" x14ac:dyDescent="0.3">
      <c r="A1" s="1" t="s">
        <v>44</v>
      </c>
      <c r="B1" s="1" t="s">
        <v>729</v>
      </c>
      <c r="C1" s="5" t="s">
        <v>730</v>
      </c>
      <c r="D1" s="1" t="s">
        <v>731</v>
      </c>
      <c r="E1" s="1" t="s">
        <v>732</v>
      </c>
    </row>
    <row r="2" spans="1:5" x14ac:dyDescent="0.3">
      <c r="A2" s="1">
        <v>1</v>
      </c>
      <c r="B2" s="1" t="s">
        <v>733</v>
      </c>
      <c r="C2" s="5">
        <v>45334</v>
      </c>
      <c r="D2" s="1" t="s">
        <v>734</v>
      </c>
      <c r="E2" s="1" t="s">
        <v>735</v>
      </c>
    </row>
    <row r="3" spans="1:5" x14ac:dyDescent="0.3">
      <c r="A3" s="1">
        <v>2</v>
      </c>
      <c r="B3" s="1" t="s">
        <v>733</v>
      </c>
      <c r="C3" s="5">
        <v>45334</v>
      </c>
      <c r="D3" s="1" t="s">
        <v>734</v>
      </c>
      <c r="E3" s="1" t="s">
        <v>736</v>
      </c>
    </row>
    <row r="4" spans="1:5" x14ac:dyDescent="0.3">
      <c r="A4" s="1">
        <v>3</v>
      </c>
      <c r="B4" s="1" t="s">
        <v>733</v>
      </c>
      <c r="C4" s="5">
        <v>45334</v>
      </c>
      <c r="D4" s="1" t="s">
        <v>737</v>
      </c>
      <c r="E4" s="1" t="s">
        <v>735</v>
      </c>
    </row>
    <row r="5" spans="1:5" x14ac:dyDescent="0.3">
      <c r="A5" s="1">
        <v>4</v>
      </c>
      <c r="B5" s="1" t="s">
        <v>738</v>
      </c>
      <c r="C5" s="5">
        <v>45335</v>
      </c>
      <c r="D5" s="1" t="s">
        <v>739</v>
      </c>
      <c r="E5" s="1" t="s">
        <v>740</v>
      </c>
    </row>
    <row r="6" spans="1:5" x14ac:dyDescent="0.3">
      <c r="A6" s="1">
        <v>5</v>
      </c>
      <c r="B6" s="1" t="s">
        <v>738</v>
      </c>
      <c r="C6" s="5">
        <v>45335</v>
      </c>
      <c r="D6" s="1" t="s">
        <v>739</v>
      </c>
      <c r="E6" s="1" t="s">
        <v>741</v>
      </c>
    </row>
    <row r="7" spans="1:5" x14ac:dyDescent="0.3">
      <c r="A7" s="1">
        <v>6</v>
      </c>
      <c r="B7" s="1" t="s">
        <v>738</v>
      </c>
      <c r="C7" s="5">
        <v>45335</v>
      </c>
      <c r="D7" s="1" t="s">
        <v>742</v>
      </c>
      <c r="E7" s="1" t="s">
        <v>740</v>
      </c>
    </row>
    <row r="8" spans="1:5" x14ac:dyDescent="0.3">
      <c r="A8" s="1">
        <v>7</v>
      </c>
      <c r="B8" s="1" t="s">
        <v>743</v>
      </c>
      <c r="C8" s="5">
        <v>45336</v>
      </c>
      <c r="D8" s="1" t="s">
        <v>744</v>
      </c>
      <c r="E8" s="1" t="s">
        <v>735</v>
      </c>
    </row>
    <row r="9" spans="1:5" x14ac:dyDescent="0.3">
      <c r="A9" s="1">
        <v>8</v>
      </c>
      <c r="B9" s="1" t="s">
        <v>743</v>
      </c>
      <c r="C9" s="5">
        <v>45336</v>
      </c>
      <c r="D9" s="1" t="s">
        <v>744</v>
      </c>
      <c r="E9" s="1" t="s">
        <v>736</v>
      </c>
    </row>
    <row r="10" spans="1:5" x14ac:dyDescent="0.3">
      <c r="A10" s="1">
        <v>9</v>
      </c>
      <c r="B10" s="1" t="s">
        <v>743</v>
      </c>
      <c r="C10" s="5">
        <v>45336</v>
      </c>
      <c r="D10" s="1" t="s">
        <v>745</v>
      </c>
      <c r="E10" s="1" t="s">
        <v>736</v>
      </c>
    </row>
    <row r="11" spans="1:5" x14ac:dyDescent="0.3">
      <c r="A11" s="1">
        <v>10</v>
      </c>
      <c r="B11" s="1" t="s">
        <v>746</v>
      </c>
      <c r="C11" s="5">
        <v>45337</v>
      </c>
      <c r="D11" s="1" t="s">
        <v>747</v>
      </c>
      <c r="E11" s="1" t="s">
        <v>740</v>
      </c>
    </row>
    <row r="12" spans="1:5" x14ac:dyDescent="0.3">
      <c r="A12" s="1">
        <v>11</v>
      </c>
      <c r="B12" s="1" t="s">
        <v>746</v>
      </c>
      <c r="C12" s="5">
        <v>45337</v>
      </c>
      <c r="D12" s="1" t="s">
        <v>747</v>
      </c>
      <c r="E12" s="1" t="s">
        <v>741</v>
      </c>
    </row>
    <row r="13" spans="1:5" x14ac:dyDescent="0.3">
      <c r="A13" s="1">
        <v>12</v>
      </c>
      <c r="B13" s="1" t="s">
        <v>746</v>
      </c>
      <c r="C13" s="5">
        <v>45337</v>
      </c>
      <c r="D13" s="1" t="s">
        <v>748</v>
      </c>
      <c r="E13" s="1" t="s">
        <v>741</v>
      </c>
    </row>
    <row r="14" spans="1:5" x14ac:dyDescent="0.3">
      <c r="A14" s="1">
        <v>13</v>
      </c>
      <c r="B14" s="1" t="s">
        <v>749</v>
      </c>
      <c r="C14" s="5">
        <v>45338</v>
      </c>
      <c r="D14" s="1" t="s">
        <v>750</v>
      </c>
      <c r="E14" s="1" t="s">
        <v>735</v>
      </c>
    </row>
    <row r="15" spans="1:5" x14ac:dyDescent="0.3">
      <c r="A15" s="1">
        <v>14</v>
      </c>
      <c r="B15" s="1" t="s">
        <v>749</v>
      </c>
      <c r="C15" s="5">
        <v>45338</v>
      </c>
      <c r="D15" s="1" t="s">
        <v>750</v>
      </c>
      <c r="E15" s="1" t="s">
        <v>740</v>
      </c>
    </row>
    <row r="16" spans="1:5" x14ac:dyDescent="0.3">
      <c r="A16" s="1">
        <v>15</v>
      </c>
      <c r="B16" s="1" t="s">
        <v>749</v>
      </c>
      <c r="C16" s="5">
        <v>45338</v>
      </c>
      <c r="D16" s="1" t="s">
        <v>751</v>
      </c>
      <c r="E16" s="1" t="s">
        <v>740</v>
      </c>
    </row>
    <row r="17" spans="1:5" x14ac:dyDescent="0.3">
      <c r="A17" s="1">
        <v>16</v>
      </c>
      <c r="B17" s="1" t="s">
        <v>752</v>
      </c>
      <c r="C17" s="5">
        <v>45339</v>
      </c>
      <c r="D17" s="1" t="s">
        <v>753</v>
      </c>
      <c r="E17" s="1" t="s">
        <v>736</v>
      </c>
    </row>
    <row r="18" spans="1:5" x14ac:dyDescent="0.3">
      <c r="A18" s="1">
        <v>17</v>
      </c>
      <c r="B18" s="1" t="s">
        <v>752</v>
      </c>
      <c r="C18" s="5">
        <v>45339</v>
      </c>
      <c r="D18" s="1" t="s">
        <v>753</v>
      </c>
      <c r="E18" s="1" t="s">
        <v>741</v>
      </c>
    </row>
    <row r="19" spans="1:5" x14ac:dyDescent="0.3">
      <c r="A19" s="1">
        <v>18</v>
      </c>
      <c r="B19" s="1" t="s">
        <v>752</v>
      </c>
      <c r="C19" s="5">
        <v>45339</v>
      </c>
      <c r="D19" s="1" t="s">
        <v>754</v>
      </c>
      <c r="E19" s="1" t="s">
        <v>741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9DC68-3846-4CD7-B7F8-FD13B4F5D6F6}">
  <dimension ref="A1:E13"/>
  <sheetViews>
    <sheetView workbookViewId="0">
      <selection activeCell="D12" sqref="A1:E13"/>
    </sheetView>
  </sheetViews>
  <sheetFormatPr defaultRowHeight="14.4" x14ac:dyDescent="0.3"/>
  <cols>
    <col min="1" max="1" width="7" style="1" bestFit="1" customWidth="1"/>
    <col min="2" max="2" width="12" style="1" bestFit="1" customWidth="1"/>
    <col min="3" max="3" width="11.109375" style="3" bestFit="1" customWidth="1"/>
    <col min="4" max="4" width="9.44140625" style="6" bestFit="1" customWidth="1"/>
    <col min="5" max="5" width="8.6640625" style="6" bestFit="1" customWidth="1"/>
  </cols>
  <sheetData>
    <row r="1" spans="1:5" x14ac:dyDescent="0.3">
      <c r="A1" s="1" t="s">
        <v>731</v>
      </c>
      <c r="B1" s="1" t="s">
        <v>755</v>
      </c>
      <c r="C1" s="3" t="s">
        <v>764</v>
      </c>
      <c r="D1" s="6" t="s">
        <v>756</v>
      </c>
      <c r="E1" s="6" t="s">
        <v>757</v>
      </c>
    </row>
    <row r="2" spans="1:5" x14ac:dyDescent="0.3">
      <c r="A2" s="1" t="s">
        <v>734</v>
      </c>
      <c r="B2" s="1" t="s">
        <v>758</v>
      </c>
      <c r="C2">
        <v>1</v>
      </c>
      <c r="D2" s="6">
        <v>0.29166666666666669</v>
      </c>
      <c r="E2" s="6">
        <v>0.54166666666666663</v>
      </c>
    </row>
    <row r="3" spans="1:5" x14ac:dyDescent="0.3">
      <c r="A3" s="1" t="s">
        <v>737</v>
      </c>
      <c r="B3" s="1" t="s">
        <v>758</v>
      </c>
      <c r="C3">
        <v>1</v>
      </c>
      <c r="D3" s="6">
        <v>0.54166666666666663</v>
      </c>
      <c r="E3" s="6">
        <v>0.70833333333333337</v>
      </c>
    </row>
    <row r="4" spans="1:5" x14ac:dyDescent="0.3">
      <c r="A4" s="1" t="s">
        <v>739</v>
      </c>
      <c r="B4" s="1" t="s">
        <v>759</v>
      </c>
      <c r="C4">
        <v>2</v>
      </c>
      <c r="D4" s="6">
        <v>0.29166666666666669</v>
      </c>
      <c r="E4" s="6">
        <v>0.54166666666666663</v>
      </c>
    </row>
    <row r="5" spans="1:5" x14ac:dyDescent="0.3">
      <c r="A5" s="1" t="s">
        <v>742</v>
      </c>
      <c r="B5" s="1" t="s">
        <v>759</v>
      </c>
      <c r="C5">
        <v>2</v>
      </c>
      <c r="D5" s="6">
        <v>0.54166666666666663</v>
      </c>
      <c r="E5" s="6">
        <v>0.70833333333333337</v>
      </c>
    </row>
    <row r="6" spans="1:5" x14ac:dyDescent="0.3">
      <c r="A6" s="1" t="s">
        <v>744</v>
      </c>
      <c r="B6" s="1" t="s">
        <v>760</v>
      </c>
      <c r="C6">
        <v>3</v>
      </c>
      <c r="D6" s="6">
        <v>0.29166666666666669</v>
      </c>
      <c r="E6" s="6">
        <v>0.54166666666666663</v>
      </c>
    </row>
    <row r="7" spans="1:5" x14ac:dyDescent="0.3">
      <c r="A7" s="1" t="s">
        <v>745</v>
      </c>
      <c r="B7" s="1" t="s">
        <v>760</v>
      </c>
      <c r="C7">
        <v>3</v>
      </c>
      <c r="D7" s="6">
        <v>0.54166666666666663</v>
      </c>
      <c r="E7" s="6">
        <v>0.70833333333333337</v>
      </c>
    </row>
    <row r="8" spans="1:5" x14ac:dyDescent="0.3">
      <c r="A8" s="1" t="s">
        <v>747</v>
      </c>
      <c r="B8" s="1" t="s">
        <v>761</v>
      </c>
      <c r="C8">
        <v>4</v>
      </c>
      <c r="D8" s="6">
        <v>0.29166666666666669</v>
      </c>
      <c r="E8" s="6">
        <v>0.54166666666666663</v>
      </c>
    </row>
    <row r="9" spans="1:5" x14ac:dyDescent="0.3">
      <c r="A9" s="1" t="s">
        <v>748</v>
      </c>
      <c r="B9" s="1" t="s">
        <v>761</v>
      </c>
      <c r="C9">
        <v>4</v>
      </c>
      <c r="D9" s="6">
        <v>0.54166666666666663</v>
      </c>
      <c r="E9" s="6">
        <v>0.70833333333333337</v>
      </c>
    </row>
    <row r="10" spans="1:5" x14ac:dyDescent="0.3">
      <c r="A10" s="1" t="s">
        <v>750</v>
      </c>
      <c r="B10" s="1" t="s">
        <v>762</v>
      </c>
      <c r="C10">
        <v>5</v>
      </c>
      <c r="D10" s="6">
        <v>0.29166666666666669</v>
      </c>
      <c r="E10" s="6">
        <v>0.54166666666666663</v>
      </c>
    </row>
    <row r="11" spans="1:5" x14ac:dyDescent="0.3">
      <c r="A11" s="1" t="s">
        <v>751</v>
      </c>
      <c r="B11" s="1" t="s">
        <v>762</v>
      </c>
      <c r="C11">
        <v>5</v>
      </c>
      <c r="D11" s="6">
        <v>0.54166666666666663</v>
      </c>
      <c r="E11" s="6">
        <v>0.70833333333333337</v>
      </c>
    </row>
    <row r="12" spans="1:5" x14ac:dyDescent="0.3">
      <c r="A12" s="1" t="s">
        <v>753</v>
      </c>
      <c r="B12" s="1" t="s">
        <v>763</v>
      </c>
      <c r="C12">
        <v>6</v>
      </c>
      <c r="D12" s="6">
        <v>0.29166666666666669</v>
      </c>
      <c r="E12" s="6">
        <v>0.54166666666666663</v>
      </c>
    </row>
    <row r="13" spans="1:5" x14ac:dyDescent="0.3">
      <c r="A13" s="1" t="s">
        <v>754</v>
      </c>
      <c r="B13" s="1" t="s">
        <v>763</v>
      </c>
      <c r="C13">
        <v>6</v>
      </c>
      <c r="D13" s="6">
        <v>0.54166666666666663</v>
      </c>
      <c r="E13" s="6">
        <v>0.70833333333333337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966E-D9B0-4F6A-A007-12A05C8D7981}">
  <dimension ref="A1:E5"/>
  <sheetViews>
    <sheetView workbookViewId="0">
      <selection activeCell="A2" sqref="A1:E5"/>
    </sheetView>
  </sheetViews>
  <sheetFormatPr defaultRowHeight="14.4" x14ac:dyDescent="0.3"/>
  <cols>
    <col min="1" max="1" width="7.21875" style="1" bestFit="1" customWidth="1"/>
    <col min="2" max="2" width="9.77734375" style="1" bestFit="1" customWidth="1"/>
    <col min="3" max="3" width="9.44140625" style="1" bestFit="1" customWidth="1"/>
    <col min="4" max="4" width="7.5546875" style="1" bestFit="1" customWidth="1"/>
    <col min="5" max="5" width="11.6640625" style="2" bestFit="1" customWidth="1"/>
  </cols>
  <sheetData>
    <row r="1" spans="1:5" x14ac:dyDescent="0.3">
      <c r="A1" s="1" t="s">
        <v>732</v>
      </c>
      <c r="B1" s="1" t="s">
        <v>765</v>
      </c>
      <c r="C1" s="1" t="s">
        <v>766</v>
      </c>
      <c r="D1" s="1" t="s">
        <v>767</v>
      </c>
      <c r="E1" s="2" t="s">
        <v>768</v>
      </c>
    </row>
    <row r="2" spans="1:5" x14ac:dyDescent="0.3">
      <c r="A2" s="1" t="s">
        <v>735</v>
      </c>
      <c r="B2" s="1" t="s">
        <v>769</v>
      </c>
      <c r="C2" s="1" t="s">
        <v>770</v>
      </c>
      <c r="D2" s="1" t="s">
        <v>771</v>
      </c>
      <c r="E2" s="2">
        <v>10</v>
      </c>
    </row>
    <row r="3" spans="1:5" x14ac:dyDescent="0.3">
      <c r="A3" s="1" t="s">
        <v>740</v>
      </c>
      <c r="B3" s="1" t="s">
        <v>498</v>
      </c>
      <c r="C3" s="1" t="s">
        <v>772</v>
      </c>
      <c r="D3" s="1" t="s">
        <v>771</v>
      </c>
      <c r="E3" s="2">
        <v>10</v>
      </c>
    </row>
    <row r="4" spans="1:5" x14ac:dyDescent="0.3">
      <c r="A4" s="1" t="s">
        <v>736</v>
      </c>
      <c r="B4" s="1" t="s">
        <v>461</v>
      </c>
      <c r="C4" s="1" t="s">
        <v>773</v>
      </c>
      <c r="D4" s="1" t="s">
        <v>771</v>
      </c>
      <c r="E4" s="2">
        <v>10</v>
      </c>
    </row>
    <row r="5" spans="1:5" x14ac:dyDescent="0.3">
      <c r="A5" s="1" t="s">
        <v>741</v>
      </c>
      <c r="B5" s="1" t="s">
        <v>459</v>
      </c>
      <c r="C5" s="1" t="s">
        <v>774</v>
      </c>
      <c r="D5" s="1" t="s">
        <v>771</v>
      </c>
      <c r="E5" s="2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A5816-49EA-4E0D-A6F9-2F105EC1F8EC}">
  <dimension ref="A1:F62"/>
  <sheetViews>
    <sheetView workbookViewId="0">
      <selection activeCell="B1" sqref="B1:B1048576"/>
    </sheetView>
  </sheetViews>
  <sheetFormatPr defaultRowHeight="14.4" x14ac:dyDescent="0.3"/>
  <cols>
    <col min="1" max="1" width="8.88671875" style="1"/>
    <col min="2" max="2" width="13.6640625" style="1" bestFit="1" customWidth="1"/>
    <col min="3" max="3" width="8.88671875" style="1"/>
    <col min="4" max="4" width="8.88671875" style="3"/>
    <col min="5" max="5" width="12.21875" bestFit="1" customWidth="1"/>
    <col min="6" max="6" width="13.6640625" bestFit="1" customWidth="1"/>
  </cols>
  <sheetData>
    <row r="1" spans="1:6" x14ac:dyDescent="0.3">
      <c r="A1" s="1" t="s">
        <v>44</v>
      </c>
      <c r="B1" s="1" t="s">
        <v>45</v>
      </c>
      <c r="C1" s="1" t="s">
        <v>0</v>
      </c>
      <c r="D1" s="3" t="s">
        <v>46</v>
      </c>
      <c r="E1" t="s">
        <v>775</v>
      </c>
      <c r="F1" t="s">
        <v>776</v>
      </c>
    </row>
    <row r="2" spans="1:6" x14ac:dyDescent="0.3">
      <c r="A2" s="1">
        <v>1</v>
      </c>
      <c r="B2" s="1" t="s">
        <v>47</v>
      </c>
      <c r="C2" s="1" t="s">
        <v>5</v>
      </c>
      <c r="D2" s="3">
        <v>8</v>
      </c>
      <c r="E2">
        <f>_xlfn.XLOOKUP(C2, ingredients_clean!A:A, ingredients_clean!F:F, "")</f>
        <v>1.2E-2</v>
      </c>
      <c r="F2">
        <f>D2*E2</f>
        <v>9.6000000000000002E-2</v>
      </c>
    </row>
    <row r="3" spans="1:6" x14ac:dyDescent="0.3">
      <c r="A3" s="1">
        <v>2</v>
      </c>
      <c r="B3" s="1" t="s">
        <v>47</v>
      </c>
      <c r="C3" s="1" t="s">
        <v>8</v>
      </c>
      <c r="D3" s="3">
        <v>130</v>
      </c>
      <c r="E3">
        <f>_xlfn.XLOOKUP(C3, ingredients_clean!A:A, ingredients_clean!F:F, "")</f>
        <v>1.1999999999999999E-3</v>
      </c>
      <c r="F3">
        <f t="shared" ref="F3:F62" si="0">D3*E3</f>
        <v>0.156</v>
      </c>
    </row>
    <row r="4" spans="1:6" x14ac:dyDescent="0.3">
      <c r="A4" s="1">
        <v>3</v>
      </c>
      <c r="B4" s="1" t="s">
        <v>48</v>
      </c>
      <c r="C4" s="1" t="s">
        <v>5</v>
      </c>
      <c r="D4" s="3">
        <v>10</v>
      </c>
      <c r="E4">
        <f>_xlfn.XLOOKUP(C4, ingredients_clean!A:A, ingredients_clean!F:F, "")</f>
        <v>1.2E-2</v>
      </c>
      <c r="F4">
        <f t="shared" si="0"/>
        <v>0.12</v>
      </c>
    </row>
    <row r="5" spans="1:6" x14ac:dyDescent="0.3">
      <c r="A5" s="1">
        <v>4</v>
      </c>
      <c r="B5" s="1" t="s">
        <v>48</v>
      </c>
      <c r="C5" s="1" t="s">
        <v>8</v>
      </c>
      <c r="D5" s="3">
        <v>180</v>
      </c>
      <c r="E5">
        <f>_xlfn.XLOOKUP(C5, ingredients_clean!A:A, ingredients_clean!F:F, "")</f>
        <v>1.1999999999999999E-3</v>
      </c>
      <c r="F5">
        <f t="shared" si="0"/>
        <v>0.21599999999999997</v>
      </c>
    </row>
    <row r="6" spans="1:6" x14ac:dyDescent="0.3">
      <c r="A6" s="1">
        <v>5</v>
      </c>
      <c r="B6" s="1" t="s">
        <v>49</v>
      </c>
      <c r="C6" s="1" t="s">
        <v>5</v>
      </c>
      <c r="D6" s="3">
        <v>8</v>
      </c>
      <c r="E6">
        <f>_xlfn.XLOOKUP(C6, ingredients_clean!A:A, ingredients_clean!F:F, "")</f>
        <v>1.2E-2</v>
      </c>
      <c r="F6">
        <f t="shared" si="0"/>
        <v>9.6000000000000002E-2</v>
      </c>
    </row>
    <row r="7" spans="1:6" x14ac:dyDescent="0.3">
      <c r="A7" s="1">
        <v>6</v>
      </c>
      <c r="B7" s="1" t="s">
        <v>49</v>
      </c>
      <c r="C7" s="1" t="s">
        <v>8</v>
      </c>
      <c r="D7" s="3">
        <v>130</v>
      </c>
      <c r="E7">
        <f>_xlfn.XLOOKUP(C7, ingredients_clean!A:A, ingredients_clean!F:F, "")</f>
        <v>1.1999999999999999E-3</v>
      </c>
      <c r="F7">
        <f t="shared" si="0"/>
        <v>0.156</v>
      </c>
    </row>
    <row r="8" spans="1:6" x14ac:dyDescent="0.3">
      <c r="A8" s="1">
        <v>7</v>
      </c>
      <c r="B8" s="1" t="s">
        <v>50</v>
      </c>
      <c r="C8" s="1" t="s">
        <v>5</v>
      </c>
      <c r="D8" s="3">
        <v>10</v>
      </c>
      <c r="E8">
        <f>_xlfn.XLOOKUP(C8, ingredients_clean!A:A, ingredients_clean!F:F, "")</f>
        <v>1.2E-2</v>
      </c>
      <c r="F8">
        <f t="shared" si="0"/>
        <v>0.12</v>
      </c>
    </row>
    <row r="9" spans="1:6" x14ac:dyDescent="0.3">
      <c r="A9" s="1">
        <v>8</v>
      </c>
      <c r="B9" s="1" t="s">
        <v>50</v>
      </c>
      <c r="C9" s="1" t="s">
        <v>8</v>
      </c>
      <c r="D9" s="3">
        <v>180</v>
      </c>
      <c r="E9">
        <f>_xlfn.XLOOKUP(C9, ingredients_clean!A:A, ingredients_clean!F:F, "")</f>
        <v>1.1999999999999999E-3</v>
      </c>
      <c r="F9">
        <f t="shared" si="0"/>
        <v>0.21599999999999997</v>
      </c>
    </row>
    <row r="10" spans="1:6" x14ac:dyDescent="0.3">
      <c r="A10" s="1">
        <v>9</v>
      </c>
      <c r="B10" s="1" t="s">
        <v>51</v>
      </c>
      <c r="C10" s="1" t="s">
        <v>5</v>
      </c>
      <c r="D10" s="3">
        <v>8</v>
      </c>
      <c r="E10">
        <f>_xlfn.XLOOKUP(C10, ingredients_clean!A:A, ingredients_clean!F:F, "")</f>
        <v>1.2E-2</v>
      </c>
      <c r="F10">
        <f t="shared" si="0"/>
        <v>9.6000000000000002E-2</v>
      </c>
    </row>
    <row r="11" spans="1:6" x14ac:dyDescent="0.3">
      <c r="A11" s="1">
        <v>10</v>
      </c>
      <c r="B11" s="1" t="s">
        <v>51</v>
      </c>
      <c r="C11" s="1" t="s">
        <v>8</v>
      </c>
      <c r="D11" s="3">
        <v>160</v>
      </c>
      <c r="E11">
        <f>_xlfn.XLOOKUP(C11, ingredients_clean!A:A, ingredients_clean!F:F, "")</f>
        <v>1.1999999999999999E-3</v>
      </c>
      <c r="F11">
        <f t="shared" si="0"/>
        <v>0.19199999999999998</v>
      </c>
    </row>
    <row r="12" spans="1:6" x14ac:dyDescent="0.3">
      <c r="A12" s="1">
        <v>11</v>
      </c>
      <c r="B12" s="1" t="s">
        <v>52</v>
      </c>
      <c r="C12" s="1" t="s">
        <v>5</v>
      </c>
      <c r="D12" s="3">
        <v>8</v>
      </c>
      <c r="E12">
        <f>_xlfn.XLOOKUP(C12, ingredients_clean!A:A, ingredients_clean!F:F, "")</f>
        <v>1.2E-2</v>
      </c>
      <c r="F12">
        <f t="shared" si="0"/>
        <v>9.6000000000000002E-2</v>
      </c>
    </row>
    <row r="13" spans="1:6" x14ac:dyDescent="0.3">
      <c r="A13" s="1">
        <v>12</v>
      </c>
      <c r="B13" s="1" t="s">
        <v>52</v>
      </c>
      <c r="C13" s="1" t="s">
        <v>8</v>
      </c>
      <c r="D13" s="3">
        <v>120</v>
      </c>
      <c r="E13">
        <f>_xlfn.XLOOKUP(C13, ingredients_clean!A:A, ingredients_clean!F:F, "")</f>
        <v>1.1999999999999999E-3</v>
      </c>
      <c r="F13">
        <f t="shared" si="0"/>
        <v>0.14399999999999999</v>
      </c>
    </row>
    <row r="14" spans="1:6" x14ac:dyDescent="0.3">
      <c r="A14" s="1">
        <v>13</v>
      </c>
      <c r="B14" s="1" t="s">
        <v>52</v>
      </c>
      <c r="C14" s="1" t="s">
        <v>23</v>
      </c>
      <c r="D14" s="3">
        <v>20</v>
      </c>
      <c r="E14">
        <f>_xlfn.XLOOKUP(C14, ingredients_clean!A:A, ingredients_clean!F:F, "")</f>
        <v>8.490000000000001E-3</v>
      </c>
      <c r="F14">
        <f t="shared" si="0"/>
        <v>0.16980000000000001</v>
      </c>
    </row>
    <row r="15" spans="1:6" x14ac:dyDescent="0.3">
      <c r="A15" s="1">
        <v>14</v>
      </c>
      <c r="B15" s="1" t="s">
        <v>53</v>
      </c>
      <c r="C15" s="1" t="s">
        <v>5</v>
      </c>
      <c r="D15" s="3">
        <v>10</v>
      </c>
      <c r="E15">
        <f>_xlfn.XLOOKUP(C15, ingredients_clean!A:A, ingredients_clean!F:F, "")</f>
        <v>1.2E-2</v>
      </c>
      <c r="F15">
        <f t="shared" si="0"/>
        <v>0.12</v>
      </c>
    </row>
    <row r="16" spans="1:6" x14ac:dyDescent="0.3">
      <c r="A16" s="1">
        <v>15</v>
      </c>
      <c r="B16" s="1" t="s">
        <v>53</v>
      </c>
      <c r="C16" s="1" t="s">
        <v>8</v>
      </c>
      <c r="D16" s="3">
        <v>160</v>
      </c>
      <c r="E16">
        <f>_xlfn.XLOOKUP(C16, ingredients_clean!A:A, ingredients_clean!F:F, "")</f>
        <v>1.1999999999999999E-3</v>
      </c>
      <c r="F16">
        <f t="shared" si="0"/>
        <v>0.19199999999999998</v>
      </c>
    </row>
    <row r="17" spans="1:6" x14ac:dyDescent="0.3">
      <c r="A17" s="1">
        <v>16</v>
      </c>
      <c r="B17" s="1" t="s">
        <v>53</v>
      </c>
      <c r="C17" s="1" t="s">
        <v>23</v>
      </c>
      <c r="D17" s="3">
        <v>30</v>
      </c>
      <c r="E17">
        <f>_xlfn.XLOOKUP(C17, ingredients_clean!A:A, ingredients_clean!F:F, "")</f>
        <v>8.490000000000001E-3</v>
      </c>
      <c r="F17">
        <f t="shared" si="0"/>
        <v>0.25470000000000004</v>
      </c>
    </row>
    <row r="18" spans="1:6" x14ac:dyDescent="0.3">
      <c r="A18" s="1">
        <v>17</v>
      </c>
      <c r="B18" s="1" t="s">
        <v>54</v>
      </c>
      <c r="C18" s="1" t="s">
        <v>5</v>
      </c>
      <c r="D18" s="3">
        <v>8</v>
      </c>
      <c r="E18">
        <f>_xlfn.XLOOKUP(C18, ingredients_clean!A:A, ingredients_clean!F:F, "")</f>
        <v>1.2E-2</v>
      </c>
      <c r="F18">
        <f t="shared" si="0"/>
        <v>9.6000000000000002E-2</v>
      </c>
    </row>
    <row r="19" spans="1:6" x14ac:dyDescent="0.3">
      <c r="A19" s="1">
        <v>18</v>
      </c>
      <c r="B19" s="1" t="s">
        <v>55</v>
      </c>
      <c r="C19" s="1" t="s">
        <v>5</v>
      </c>
      <c r="D19" s="3">
        <v>8</v>
      </c>
      <c r="E19">
        <f>_xlfn.XLOOKUP(C19, ingredients_clean!A:A, ingredients_clean!F:F, "")</f>
        <v>1.2E-2</v>
      </c>
      <c r="F19">
        <f t="shared" si="0"/>
        <v>9.6000000000000002E-2</v>
      </c>
    </row>
    <row r="20" spans="1:6" x14ac:dyDescent="0.3">
      <c r="A20" s="1">
        <v>19</v>
      </c>
      <c r="B20" s="1" t="s">
        <v>55</v>
      </c>
      <c r="C20" s="1" t="s">
        <v>8</v>
      </c>
      <c r="D20" s="3">
        <v>120</v>
      </c>
      <c r="E20">
        <f>_xlfn.XLOOKUP(C20, ingredients_clean!A:A, ingredients_clean!F:F, "")</f>
        <v>1.1999999999999999E-3</v>
      </c>
      <c r="F20">
        <f t="shared" si="0"/>
        <v>0.14399999999999999</v>
      </c>
    </row>
    <row r="21" spans="1:6" x14ac:dyDescent="0.3">
      <c r="A21" s="1">
        <v>20</v>
      </c>
      <c r="B21" s="1" t="s">
        <v>55</v>
      </c>
      <c r="C21" s="1" t="s">
        <v>19</v>
      </c>
      <c r="D21" s="3">
        <v>20</v>
      </c>
      <c r="E21">
        <f>_xlfn.XLOOKUP(C21, ingredients_clean!A:A, ingredients_clean!F:F, "")</f>
        <v>8.490000000000001E-3</v>
      </c>
      <c r="F21">
        <f t="shared" si="0"/>
        <v>0.16980000000000001</v>
      </c>
    </row>
    <row r="22" spans="1:6" x14ac:dyDescent="0.3">
      <c r="A22" s="1">
        <v>21</v>
      </c>
      <c r="B22" s="1" t="s">
        <v>56</v>
      </c>
      <c r="C22" s="1" t="s">
        <v>5</v>
      </c>
      <c r="D22" s="3">
        <v>10</v>
      </c>
      <c r="E22">
        <f>_xlfn.XLOOKUP(C22, ingredients_clean!A:A, ingredients_clean!F:F, "")</f>
        <v>1.2E-2</v>
      </c>
      <c r="F22">
        <f t="shared" si="0"/>
        <v>0.12</v>
      </c>
    </row>
    <row r="23" spans="1:6" x14ac:dyDescent="0.3">
      <c r="A23" s="1">
        <v>22</v>
      </c>
      <c r="B23" s="1" t="s">
        <v>56</v>
      </c>
      <c r="C23" s="1" t="s">
        <v>8</v>
      </c>
      <c r="D23" s="3">
        <v>160</v>
      </c>
      <c r="E23">
        <f>_xlfn.XLOOKUP(C23, ingredients_clean!A:A, ingredients_clean!F:F, "")</f>
        <v>1.1999999999999999E-3</v>
      </c>
      <c r="F23">
        <f t="shared" si="0"/>
        <v>0.19199999999999998</v>
      </c>
    </row>
    <row r="24" spans="1:6" x14ac:dyDescent="0.3">
      <c r="A24" s="1">
        <v>23</v>
      </c>
      <c r="B24" s="1" t="s">
        <v>56</v>
      </c>
      <c r="C24" s="1" t="s">
        <v>19</v>
      </c>
      <c r="D24" s="3">
        <v>30</v>
      </c>
      <c r="E24">
        <f>_xlfn.XLOOKUP(C24, ingredients_clean!A:A, ingredients_clean!F:F, "")</f>
        <v>8.490000000000001E-3</v>
      </c>
      <c r="F24">
        <f t="shared" si="0"/>
        <v>0.25470000000000004</v>
      </c>
    </row>
    <row r="25" spans="1:6" x14ac:dyDescent="0.3">
      <c r="A25" s="1">
        <v>24</v>
      </c>
      <c r="B25" s="1" t="s">
        <v>57</v>
      </c>
      <c r="C25" s="1" t="s">
        <v>5</v>
      </c>
      <c r="D25" s="3">
        <v>8</v>
      </c>
      <c r="E25">
        <f>_xlfn.XLOOKUP(C25, ingredients_clean!A:A, ingredients_clean!F:F, "")</f>
        <v>1.2E-2</v>
      </c>
      <c r="F25">
        <f t="shared" si="0"/>
        <v>9.6000000000000002E-2</v>
      </c>
    </row>
    <row r="26" spans="1:6" x14ac:dyDescent="0.3">
      <c r="A26" s="1">
        <v>25</v>
      </c>
      <c r="B26" s="1" t="s">
        <v>57</v>
      </c>
      <c r="C26" s="1" t="s">
        <v>8</v>
      </c>
      <c r="D26" s="3">
        <v>120</v>
      </c>
      <c r="E26">
        <f>_xlfn.XLOOKUP(C26, ingredients_clean!A:A, ingredients_clean!F:F, "")</f>
        <v>1.1999999999999999E-3</v>
      </c>
      <c r="F26">
        <f t="shared" si="0"/>
        <v>0.14399999999999999</v>
      </c>
    </row>
    <row r="27" spans="1:6" x14ac:dyDescent="0.3">
      <c r="A27" s="1">
        <v>26</v>
      </c>
      <c r="B27" s="1" t="s">
        <v>57</v>
      </c>
      <c r="C27" s="1" t="s">
        <v>21</v>
      </c>
      <c r="D27" s="3">
        <v>20</v>
      </c>
      <c r="E27">
        <f>_xlfn.XLOOKUP(C27, ingredients_clean!A:A, ingredients_clean!F:F, "")</f>
        <v>8.490000000000001E-3</v>
      </c>
      <c r="F27">
        <f t="shared" si="0"/>
        <v>0.16980000000000001</v>
      </c>
    </row>
    <row r="28" spans="1:6" x14ac:dyDescent="0.3">
      <c r="A28" s="1">
        <v>27</v>
      </c>
      <c r="B28" s="1" t="s">
        <v>58</v>
      </c>
      <c r="C28" s="1" t="s">
        <v>5</v>
      </c>
      <c r="D28" s="3">
        <v>10</v>
      </c>
      <c r="E28">
        <f>_xlfn.XLOOKUP(C28, ingredients_clean!A:A, ingredients_clean!F:F, "")</f>
        <v>1.2E-2</v>
      </c>
      <c r="F28">
        <f t="shared" si="0"/>
        <v>0.12</v>
      </c>
    </row>
    <row r="29" spans="1:6" x14ac:dyDescent="0.3">
      <c r="A29" s="1">
        <v>28</v>
      </c>
      <c r="B29" s="1" t="s">
        <v>58</v>
      </c>
      <c r="C29" s="1" t="s">
        <v>8</v>
      </c>
      <c r="D29" s="3">
        <v>160</v>
      </c>
      <c r="E29">
        <f>_xlfn.XLOOKUP(C29, ingredients_clean!A:A, ingredients_clean!F:F, "")</f>
        <v>1.1999999999999999E-3</v>
      </c>
      <c r="F29">
        <f t="shared" si="0"/>
        <v>0.19199999999999998</v>
      </c>
    </row>
    <row r="30" spans="1:6" x14ac:dyDescent="0.3">
      <c r="A30" s="1">
        <v>29</v>
      </c>
      <c r="B30" s="1" t="s">
        <v>58</v>
      </c>
      <c r="C30" s="1" t="s">
        <v>21</v>
      </c>
      <c r="D30" s="3">
        <v>30</v>
      </c>
      <c r="E30">
        <f>_xlfn.XLOOKUP(C30, ingredients_clean!A:A, ingredients_clean!F:F, "")</f>
        <v>8.490000000000001E-3</v>
      </c>
      <c r="F30">
        <f t="shared" si="0"/>
        <v>0.25470000000000004</v>
      </c>
    </row>
    <row r="31" spans="1:6" x14ac:dyDescent="0.3">
      <c r="A31" s="1">
        <v>30</v>
      </c>
      <c r="B31" s="1" t="s">
        <v>59</v>
      </c>
      <c r="C31" s="1" t="s">
        <v>8</v>
      </c>
      <c r="D31" s="3">
        <v>130</v>
      </c>
      <c r="E31">
        <f>_xlfn.XLOOKUP(C31, ingredients_clean!A:A, ingredients_clean!F:F, "")</f>
        <v>1.1999999999999999E-3</v>
      </c>
      <c r="F31">
        <f t="shared" si="0"/>
        <v>0.156</v>
      </c>
    </row>
    <row r="32" spans="1:6" x14ac:dyDescent="0.3">
      <c r="A32" s="1">
        <v>31</v>
      </c>
      <c r="B32" s="1" t="s">
        <v>59</v>
      </c>
      <c r="C32" s="1" t="s">
        <v>30</v>
      </c>
      <c r="D32" s="3">
        <v>25</v>
      </c>
      <c r="E32">
        <f>_xlfn.XLOOKUP(C32, ingredients_clean!A:A, ingredients_clean!F:F, "")</f>
        <v>2.1999999999999999E-2</v>
      </c>
      <c r="F32">
        <f t="shared" si="0"/>
        <v>0.54999999999999993</v>
      </c>
    </row>
    <row r="33" spans="1:6" x14ac:dyDescent="0.3">
      <c r="A33" s="1">
        <v>32</v>
      </c>
      <c r="B33" s="1" t="s">
        <v>59</v>
      </c>
      <c r="C33" s="1" t="s">
        <v>32</v>
      </c>
      <c r="D33" s="3">
        <v>20</v>
      </c>
      <c r="E33">
        <f>_xlfn.XLOOKUP(C33, ingredients_clean!A:A, ingredients_clean!F:F, "")</f>
        <v>1.0500000000000001E-2</v>
      </c>
      <c r="F33">
        <f t="shared" si="0"/>
        <v>0.21000000000000002</v>
      </c>
    </row>
    <row r="34" spans="1:6" x14ac:dyDescent="0.3">
      <c r="A34" s="1">
        <v>33</v>
      </c>
      <c r="B34" s="1" t="s">
        <v>59</v>
      </c>
      <c r="C34" s="1" t="s">
        <v>15</v>
      </c>
      <c r="D34" s="3">
        <v>30</v>
      </c>
      <c r="E34">
        <f>_xlfn.XLOOKUP(C34, ingredients_clean!A:A, ingredients_clean!F:F, "")</f>
        <v>4.5000000000000005E-3</v>
      </c>
      <c r="F34">
        <f t="shared" si="0"/>
        <v>0.13500000000000001</v>
      </c>
    </row>
    <row r="35" spans="1:6" x14ac:dyDescent="0.3">
      <c r="A35" s="1">
        <v>34</v>
      </c>
      <c r="B35" s="1" t="s">
        <v>60</v>
      </c>
      <c r="C35" s="1" t="s">
        <v>8</v>
      </c>
      <c r="D35" s="3">
        <v>180</v>
      </c>
      <c r="E35">
        <f>_xlfn.XLOOKUP(C35, ingredients_clean!A:A, ingredients_clean!F:F, "")</f>
        <v>1.1999999999999999E-3</v>
      </c>
      <c r="F35">
        <f t="shared" si="0"/>
        <v>0.21599999999999997</v>
      </c>
    </row>
    <row r="36" spans="1:6" x14ac:dyDescent="0.3">
      <c r="A36" s="1">
        <v>35</v>
      </c>
      <c r="B36" s="1" t="s">
        <v>60</v>
      </c>
      <c r="C36" s="1" t="s">
        <v>30</v>
      </c>
      <c r="D36" s="3">
        <v>35</v>
      </c>
      <c r="E36">
        <f>_xlfn.XLOOKUP(C36, ingredients_clean!A:A, ingredients_clean!F:F, "")</f>
        <v>2.1999999999999999E-2</v>
      </c>
      <c r="F36">
        <f t="shared" si="0"/>
        <v>0.76999999999999991</v>
      </c>
    </row>
    <row r="37" spans="1:6" x14ac:dyDescent="0.3">
      <c r="A37" s="1">
        <v>36</v>
      </c>
      <c r="B37" s="1" t="s">
        <v>60</v>
      </c>
      <c r="C37" s="1" t="s">
        <v>32</v>
      </c>
      <c r="D37" s="3">
        <v>30</v>
      </c>
      <c r="E37">
        <f>_xlfn.XLOOKUP(C37, ingredients_clean!A:A, ingredients_clean!F:F, "")</f>
        <v>1.0500000000000001E-2</v>
      </c>
      <c r="F37">
        <f t="shared" si="0"/>
        <v>0.315</v>
      </c>
    </row>
    <row r="38" spans="1:6" x14ac:dyDescent="0.3">
      <c r="A38" s="1">
        <v>37</v>
      </c>
      <c r="B38" s="1" t="s">
        <v>60</v>
      </c>
      <c r="C38" s="1" t="s">
        <v>15</v>
      </c>
      <c r="D38" s="3">
        <v>40</v>
      </c>
      <c r="E38">
        <f>_xlfn.XLOOKUP(C38, ingredients_clean!A:A, ingredients_clean!F:F, "")</f>
        <v>4.5000000000000005E-3</v>
      </c>
      <c r="F38">
        <f t="shared" si="0"/>
        <v>0.18000000000000002</v>
      </c>
    </row>
    <row r="39" spans="1:6" x14ac:dyDescent="0.3">
      <c r="A39" s="1">
        <v>38</v>
      </c>
      <c r="B39" s="1" t="s">
        <v>61</v>
      </c>
      <c r="C39" s="1" t="s">
        <v>5</v>
      </c>
      <c r="D39" s="3">
        <v>8</v>
      </c>
      <c r="E39">
        <f>_xlfn.XLOOKUP(C39, ingredients_clean!A:A, ingredients_clean!F:F, "")</f>
        <v>1.2E-2</v>
      </c>
      <c r="F39">
        <f t="shared" si="0"/>
        <v>9.6000000000000002E-2</v>
      </c>
    </row>
    <row r="40" spans="1:6" x14ac:dyDescent="0.3">
      <c r="A40" s="1">
        <v>39</v>
      </c>
      <c r="B40" s="1" t="s">
        <v>61</v>
      </c>
      <c r="C40" s="1" t="s">
        <v>8</v>
      </c>
      <c r="D40" s="3">
        <v>130</v>
      </c>
      <c r="E40">
        <f>_xlfn.XLOOKUP(C40, ingredients_clean!A:A, ingredients_clean!F:F, "")</f>
        <v>1.1999999999999999E-3</v>
      </c>
      <c r="F40">
        <f t="shared" si="0"/>
        <v>0.156</v>
      </c>
    </row>
    <row r="41" spans="1:6" x14ac:dyDescent="0.3">
      <c r="A41" s="1">
        <v>40</v>
      </c>
      <c r="B41" s="1" t="s">
        <v>62</v>
      </c>
      <c r="C41" s="1" t="s">
        <v>5</v>
      </c>
      <c r="D41" s="3">
        <v>10</v>
      </c>
      <c r="E41">
        <f>_xlfn.XLOOKUP(C41, ingredients_clean!A:A, ingredients_clean!F:F, "")</f>
        <v>1.2E-2</v>
      </c>
      <c r="F41">
        <f t="shared" si="0"/>
        <v>0.12</v>
      </c>
    </row>
    <row r="42" spans="1:6" x14ac:dyDescent="0.3">
      <c r="A42" s="1">
        <v>41</v>
      </c>
      <c r="B42" s="1" t="s">
        <v>62</v>
      </c>
      <c r="C42" s="1" t="s">
        <v>8</v>
      </c>
      <c r="D42" s="3">
        <v>180</v>
      </c>
      <c r="E42">
        <f>_xlfn.XLOOKUP(C42, ingredients_clean!A:A, ingredients_clean!F:F, "")</f>
        <v>1.1999999999999999E-3</v>
      </c>
      <c r="F42">
        <f t="shared" si="0"/>
        <v>0.21599999999999997</v>
      </c>
    </row>
    <row r="43" spans="1:6" x14ac:dyDescent="0.3">
      <c r="A43" s="1">
        <v>42</v>
      </c>
      <c r="B43" s="1" t="s">
        <v>63</v>
      </c>
      <c r="C43" s="1" t="s">
        <v>5</v>
      </c>
      <c r="D43" s="3">
        <v>8</v>
      </c>
      <c r="E43">
        <f>_xlfn.XLOOKUP(C43, ingredients_clean!A:A, ingredients_clean!F:F, "")</f>
        <v>1.2E-2</v>
      </c>
      <c r="F43">
        <f t="shared" si="0"/>
        <v>9.6000000000000002E-2</v>
      </c>
    </row>
    <row r="44" spans="1:6" x14ac:dyDescent="0.3">
      <c r="A44" s="1">
        <v>43</v>
      </c>
      <c r="B44" s="1" t="s">
        <v>63</v>
      </c>
      <c r="C44" s="1" t="s">
        <v>8</v>
      </c>
      <c r="D44" s="3">
        <v>120</v>
      </c>
      <c r="E44">
        <f>_xlfn.XLOOKUP(C44, ingredients_clean!A:A, ingredients_clean!F:F, "")</f>
        <v>1.1999999999999999E-3</v>
      </c>
      <c r="F44">
        <f t="shared" si="0"/>
        <v>0.14399999999999999</v>
      </c>
    </row>
    <row r="45" spans="1:6" x14ac:dyDescent="0.3">
      <c r="A45" s="1">
        <v>44</v>
      </c>
      <c r="B45" s="1" t="s">
        <v>63</v>
      </c>
      <c r="C45" s="1" t="s">
        <v>19</v>
      </c>
      <c r="D45" s="3">
        <v>20</v>
      </c>
      <c r="E45">
        <f>_xlfn.XLOOKUP(C45, ingredients_clean!A:A, ingredients_clean!F:F, "")</f>
        <v>8.490000000000001E-3</v>
      </c>
      <c r="F45">
        <f t="shared" si="0"/>
        <v>0.16980000000000001</v>
      </c>
    </row>
    <row r="46" spans="1:6" x14ac:dyDescent="0.3">
      <c r="A46" s="1">
        <v>45</v>
      </c>
      <c r="B46" s="1" t="s">
        <v>64</v>
      </c>
      <c r="C46" s="1" t="s">
        <v>5</v>
      </c>
      <c r="D46" s="3">
        <v>10</v>
      </c>
      <c r="E46">
        <f>_xlfn.XLOOKUP(C46, ingredients_clean!A:A, ingredients_clean!F:F, "")</f>
        <v>1.2E-2</v>
      </c>
      <c r="F46">
        <f t="shared" si="0"/>
        <v>0.12</v>
      </c>
    </row>
    <row r="47" spans="1:6" x14ac:dyDescent="0.3">
      <c r="A47" s="1">
        <v>46</v>
      </c>
      <c r="B47" s="1" t="s">
        <v>64</v>
      </c>
      <c r="C47" s="1" t="s">
        <v>8</v>
      </c>
      <c r="D47" s="3">
        <v>160</v>
      </c>
      <c r="E47">
        <f>_xlfn.XLOOKUP(C47, ingredients_clean!A:A, ingredients_clean!F:F, "")</f>
        <v>1.1999999999999999E-3</v>
      </c>
      <c r="F47">
        <f t="shared" si="0"/>
        <v>0.19199999999999998</v>
      </c>
    </row>
    <row r="48" spans="1:6" x14ac:dyDescent="0.3">
      <c r="A48" s="1">
        <v>47</v>
      </c>
      <c r="B48" s="1" t="s">
        <v>64</v>
      </c>
      <c r="C48" s="1" t="s">
        <v>19</v>
      </c>
      <c r="D48" s="3">
        <v>30</v>
      </c>
      <c r="E48">
        <f>_xlfn.XLOOKUP(C48, ingredients_clean!A:A, ingredients_clean!F:F, "")</f>
        <v>8.490000000000001E-3</v>
      </c>
      <c r="F48">
        <f t="shared" si="0"/>
        <v>0.25470000000000004</v>
      </c>
    </row>
    <row r="49" spans="1:6" x14ac:dyDescent="0.3">
      <c r="A49" s="1">
        <v>48</v>
      </c>
      <c r="B49" s="1" t="s">
        <v>65</v>
      </c>
      <c r="C49" s="1" t="s">
        <v>40</v>
      </c>
      <c r="D49" s="3">
        <v>10</v>
      </c>
      <c r="E49">
        <f>_xlfn.XLOOKUP(C49, ingredients_clean!A:A, ingredients_clean!F:F, "")</f>
        <v>1.6E-2</v>
      </c>
      <c r="F49">
        <f t="shared" si="0"/>
        <v>0.16</v>
      </c>
    </row>
    <row r="50" spans="1:6" x14ac:dyDescent="0.3">
      <c r="A50" s="1">
        <v>49</v>
      </c>
      <c r="B50" s="1" t="s">
        <v>65</v>
      </c>
      <c r="C50" s="1" t="s">
        <v>25</v>
      </c>
      <c r="D50" s="3">
        <v>20</v>
      </c>
      <c r="E50">
        <f>_xlfn.XLOOKUP(C50, ingredients_clean!A:A, ingredients_clean!F:F, "")</f>
        <v>1.5E-3</v>
      </c>
      <c r="F50">
        <f t="shared" si="0"/>
        <v>0.03</v>
      </c>
    </row>
    <row r="51" spans="1:6" x14ac:dyDescent="0.3">
      <c r="A51" s="1">
        <v>50</v>
      </c>
      <c r="B51" s="1" t="s">
        <v>66</v>
      </c>
      <c r="C51" s="1" t="s">
        <v>38</v>
      </c>
      <c r="D51" s="3">
        <v>15</v>
      </c>
      <c r="E51">
        <f>_xlfn.XLOOKUP(C51, ingredients_clean!A:A, ingredients_clean!F:F, "")</f>
        <v>1.549E-2</v>
      </c>
      <c r="F51">
        <f t="shared" si="0"/>
        <v>0.23235</v>
      </c>
    </row>
    <row r="52" spans="1:6" x14ac:dyDescent="0.3">
      <c r="A52" s="1">
        <v>51</v>
      </c>
      <c r="B52" s="1" t="s">
        <v>66</v>
      </c>
      <c r="C52" s="1" t="s">
        <v>25</v>
      </c>
      <c r="D52" s="3">
        <v>25</v>
      </c>
      <c r="E52">
        <f>_xlfn.XLOOKUP(C52, ingredients_clean!A:A, ingredients_clean!F:F, "")</f>
        <v>1.5E-3</v>
      </c>
      <c r="F52">
        <f t="shared" si="0"/>
        <v>3.7499999999999999E-2</v>
      </c>
    </row>
    <row r="53" spans="1:6" x14ac:dyDescent="0.3">
      <c r="A53" s="1">
        <v>52</v>
      </c>
      <c r="B53" s="1" t="s">
        <v>67</v>
      </c>
      <c r="C53" s="1" t="s">
        <v>34</v>
      </c>
      <c r="D53" s="3">
        <v>1</v>
      </c>
      <c r="E53">
        <f>_xlfn.XLOOKUP(C53, ingredients_clean!A:A, ingredients_clean!F:F, "")</f>
        <v>0.3</v>
      </c>
      <c r="F53">
        <f t="shared" si="0"/>
        <v>0.3</v>
      </c>
    </row>
    <row r="54" spans="1:6" x14ac:dyDescent="0.3">
      <c r="A54" s="1">
        <v>53</v>
      </c>
      <c r="B54" s="1" t="s">
        <v>67</v>
      </c>
      <c r="C54" s="1" t="s">
        <v>25</v>
      </c>
      <c r="D54" s="3">
        <v>30</v>
      </c>
      <c r="E54">
        <f>_xlfn.XLOOKUP(C54, ingredients_clean!A:A, ingredients_clean!F:F, "")</f>
        <v>1.5E-3</v>
      </c>
      <c r="F54">
        <f t="shared" si="0"/>
        <v>4.4999999999999998E-2</v>
      </c>
    </row>
    <row r="55" spans="1:6" x14ac:dyDescent="0.3">
      <c r="A55" s="1">
        <v>54</v>
      </c>
      <c r="B55" s="1" t="s">
        <v>68</v>
      </c>
      <c r="C55" s="1" t="s">
        <v>34</v>
      </c>
      <c r="D55" s="3">
        <v>1</v>
      </c>
      <c r="E55">
        <f>_xlfn.XLOOKUP(C55, ingredients_clean!A:A, ingredients_clean!F:F, "")</f>
        <v>0.3</v>
      </c>
      <c r="F55">
        <f t="shared" si="0"/>
        <v>0.3</v>
      </c>
    </row>
    <row r="56" spans="1:6" x14ac:dyDescent="0.3">
      <c r="A56" s="1">
        <v>55</v>
      </c>
      <c r="B56" s="1" t="s">
        <v>68</v>
      </c>
      <c r="C56" s="1" t="s">
        <v>25</v>
      </c>
      <c r="D56" s="3">
        <v>40</v>
      </c>
      <c r="E56">
        <f>_xlfn.XLOOKUP(C56, ingredients_clean!A:A, ingredients_clean!F:F, "")</f>
        <v>1.5E-3</v>
      </c>
      <c r="F56">
        <f t="shared" si="0"/>
        <v>0.06</v>
      </c>
    </row>
    <row r="57" spans="1:6" x14ac:dyDescent="0.3">
      <c r="A57" s="1">
        <v>56</v>
      </c>
      <c r="B57" s="1" t="s">
        <v>69</v>
      </c>
      <c r="C57" s="1" t="s">
        <v>27</v>
      </c>
      <c r="D57" s="3">
        <v>1</v>
      </c>
      <c r="E57">
        <f>_xlfn.XLOOKUP(C57, ingredients_clean!A:A, ingredients_clean!F:F, "")</f>
        <v>0.33750000000000002</v>
      </c>
      <c r="F57">
        <f t="shared" si="0"/>
        <v>0.33750000000000002</v>
      </c>
    </row>
    <row r="58" spans="1:6" x14ac:dyDescent="0.3">
      <c r="A58" s="1">
        <v>57</v>
      </c>
      <c r="B58" s="1" t="s">
        <v>69</v>
      </c>
      <c r="C58" s="1" t="s">
        <v>36</v>
      </c>
      <c r="D58" s="3">
        <v>50</v>
      </c>
      <c r="E58">
        <f>_xlfn.XLOOKUP(C58, ingredients_clean!A:A, ingredients_clean!F:F, "")</f>
        <v>2.75E-2</v>
      </c>
      <c r="F58">
        <f t="shared" si="0"/>
        <v>1.375</v>
      </c>
    </row>
    <row r="59" spans="1:6" x14ac:dyDescent="0.3">
      <c r="A59" s="1">
        <v>58</v>
      </c>
      <c r="B59" s="1" t="s">
        <v>69</v>
      </c>
      <c r="C59" s="1" t="s">
        <v>11</v>
      </c>
      <c r="D59" s="3">
        <v>20</v>
      </c>
      <c r="E59">
        <f>_xlfn.XLOOKUP(C59, ingredients_clean!A:A, ingredients_clean!F:F, "")</f>
        <v>1.49E-2</v>
      </c>
      <c r="F59">
        <f t="shared" si="0"/>
        <v>0.29799999999999999</v>
      </c>
    </row>
    <row r="60" spans="1:6" x14ac:dyDescent="0.3">
      <c r="A60" s="1">
        <v>59</v>
      </c>
      <c r="B60" s="1" t="s">
        <v>70</v>
      </c>
      <c r="C60" s="1" t="s">
        <v>27</v>
      </c>
      <c r="D60" s="3">
        <v>1</v>
      </c>
      <c r="E60">
        <f>_xlfn.XLOOKUP(C60, ingredients_clean!A:A, ingredients_clean!F:F, "")</f>
        <v>0.33750000000000002</v>
      </c>
      <c r="F60">
        <f t="shared" si="0"/>
        <v>0.33750000000000002</v>
      </c>
    </row>
    <row r="61" spans="1:6" x14ac:dyDescent="0.3">
      <c r="A61" s="1">
        <v>60</v>
      </c>
      <c r="B61" s="1" t="s">
        <v>70</v>
      </c>
      <c r="C61" s="1" t="s">
        <v>38</v>
      </c>
      <c r="D61" s="3">
        <v>50</v>
      </c>
      <c r="E61">
        <f>_xlfn.XLOOKUP(C61, ingredients_clean!A:A, ingredients_clean!F:F, "")</f>
        <v>1.549E-2</v>
      </c>
      <c r="F61">
        <f t="shared" si="0"/>
        <v>0.77449999999999997</v>
      </c>
    </row>
    <row r="62" spans="1:6" x14ac:dyDescent="0.3">
      <c r="A62" s="1">
        <v>61</v>
      </c>
      <c r="B62" s="1" t="s">
        <v>70</v>
      </c>
      <c r="C62" s="1" t="s">
        <v>13</v>
      </c>
      <c r="D62" s="3">
        <v>20</v>
      </c>
      <c r="E62">
        <f>_xlfn.XLOOKUP(C62, ingredients_clean!A:A, ingredients_clean!F:F, "")</f>
        <v>0.01</v>
      </c>
      <c r="F62">
        <f t="shared" si="0"/>
        <v>0.2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26275-1C4E-4DDC-B06C-B9F379B40AFE}">
  <dimension ref="A1:B25"/>
  <sheetViews>
    <sheetView workbookViewId="0"/>
  </sheetViews>
  <sheetFormatPr defaultRowHeight="14.4" x14ac:dyDescent="0.3"/>
  <cols>
    <col min="1" max="1" width="13.6640625" bestFit="1" customWidth="1"/>
    <col min="2" max="2" width="15.44140625" bestFit="1" customWidth="1"/>
  </cols>
  <sheetData>
    <row r="1" spans="1:2" x14ac:dyDescent="0.3">
      <c r="A1" t="s">
        <v>45</v>
      </c>
      <c r="B1" t="s">
        <v>777</v>
      </c>
    </row>
    <row r="2" spans="1:2" x14ac:dyDescent="0.3">
      <c r="A2" s="8" t="s">
        <v>62</v>
      </c>
      <c r="B2">
        <v>0.33599999999999997</v>
      </c>
    </row>
    <row r="3" spans="1:2" x14ac:dyDescent="0.3">
      <c r="A3" s="8" t="s">
        <v>61</v>
      </c>
      <c r="B3">
        <v>0.252</v>
      </c>
    </row>
    <row r="4" spans="1:2" x14ac:dyDescent="0.3">
      <c r="A4" s="8" t="s">
        <v>64</v>
      </c>
      <c r="B4">
        <v>0.56669999999999998</v>
      </c>
    </row>
    <row r="5" spans="1:2" x14ac:dyDescent="0.3">
      <c r="A5" s="8" t="s">
        <v>63</v>
      </c>
      <c r="B5">
        <v>0.4098</v>
      </c>
    </row>
    <row r="6" spans="1:2" x14ac:dyDescent="0.3">
      <c r="A6" s="8" t="s">
        <v>66</v>
      </c>
      <c r="B6">
        <v>0.26984999999999998</v>
      </c>
    </row>
    <row r="7" spans="1:2" x14ac:dyDescent="0.3">
      <c r="A7" s="8" t="s">
        <v>65</v>
      </c>
      <c r="B7">
        <v>0.19</v>
      </c>
    </row>
    <row r="8" spans="1:2" x14ac:dyDescent="0.3">
      <c r="A8" s="8" t="s">
        <v>68</v>
      </c>
      <c r="B8">
        <v>0.36</v>
      </c>
    </row>
    <row r="9" spans="1:2" x14ac:dyDescent="0.3">
      <c r="A9" s="8" t="s">
        <v>67</v>
      </c>
      <c r="B9">
        <v>0.34499999999999997</v>
      </c>
    </row>
    <row r="10" spans="1:2" x14ac:dyDescent="0.3">
      <c r="A10" s="8" t="s">
        <v>48</v>
      </c>
      <c r="B10">
        <v>0.33599999999999997</v>
      </c>
    </row>
    <row r="11" spans="1:2" x14ac:dyDescent="0.3">
      <c r="A11" s="8" t="s">
        <v>47</v>
      </c>
      <c r="B11">
        <v>0.252</v>
      </c>
    </row>
    <row r="12" spans="1:2" x14ac:dyDescent="0.3">
      <c r="A12" s="8" t="s">
        <v>53</v>
      </c>
      <c r="B12">
        <v>0.56669999999999998</v>
      </c>
    </row>
    <row r="13" spans="1:2" x14ac:dyDescent="0.3">
      <c r="A13" s="8" t="s">
        <v>52</v>
      </c>
      <c r="B13">
        <v>0.4098</v>
      </c>
    </row>
    <row r="14" spans="1:2" x14ac:dyDescent="0.3">
      <c r="A14" s="8" t="s">
        <v>54</v>
      </c>
      <c r="B14">
        <v>9.6000000000000002E-2</v>
      </c>
    </row>
    <row r="15" spans="1:2" x14ac:dyDescent="0.3">
      <c r="A15" s="8" t="s">
        <v>51</v>
      </c>
      <c r="B15">
        <v>0.28799999999999998</v>
      </c>
    </row>
    <row r="16" spans="1:2" x14ac:dyDescent="0.3">
      <c r="A16" s="8" t="s">
        <v>60</v>
      </c>
      <c r="B16">
        <v>1.4809999999999999</v>
      </c>
    </row>
    <row r="17" spans="1:2" x14ac:dyDescent="0.3">
      <c r="A17" s="8" t="s">
        <v>59</v>
      </c>
      <c r="B17">
        <v>1.0509999999999999</v>
      </c>
    </row>
    <row r="18" spans="1:2" x14ac:dyDescent="0.3">
      <c r="A18" s="8" t="s">
        <v>50</v>
      </c>
      <c r="B18">
        <v>0.33599999999999997</v>
      </c>
    </row>
    <row r="19" spans="1:2" x14ac:dyDescent="0.3">
      <c r="A19" s="8" t="s">
        <v>49</v>
      </c>
      <c r="B19">
        <v>0.252</v>
      </c>
    </row>
    <row r="20" spans="1:2" x14ac:dyDescent="0.3">
      <c r="A20" s="8" t="s">
        <v>56</v>
      </c>
      <c r="B20">
        <v>0.56669999999999998</v>
      </c>
    </row>
    <row r="21" spans="1:2" x14ac:dyDescent="0.3">
      <c r="A21" s="8" t="s">
        <v>55</v>
      </c>
      <c r="B21">
        <v>0.4098</v>
      </c>
    </row>
    <row r="22" spans="1:2" x14ac:dyDescent="0.3">
      <c r="A22" s="8" t="s">
        <v>58</v>
      </c>
      <c r="B22">
        <v>0.56669999999999998</v>
      </c>
    </row>
    <row r="23" spans="1:2" x14ac:dyDescent="0.3">
      <c r="A23" s="8" t="s">
        <v>57</v>
      </c>
      <c r="B23">
        <v>0.4098</v>
      </c>
    </row>
    <row r="24" spans="1:2" x14ac:dyDescent="0.3">
      <c r="A24" s="8" t="s">
        <v>69</v>
      </c>
      <c r="B24">
        <v>2.0105</v>
      </c>
    </row>
    <row r="25" spans="1:2" x14ac:dyDescent="0.3">
      <c r="A25" s="8" t="s">
        <v>70</v>
      </c>
      <c r="B25">
        <v>1.3120000000000001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7405E-BDAB-468F-988C-E703C5EDE5B5}">
  <dimension ref="A1:U467"/>
  <sheetViews>
    <sheetView tabSelected="1" topLeftCell="A31" workbookViewId="0">
      <selection activeCell="C35" sqref="C35"/>
    </sheetView>
  </sheetViews>
  <sheetFormatPr defaultRowHeight="14.4" x14ac:dyDescent="0.3"/>
  <cols>
    <col min="1" max="2" width="8.88671875" style="1"/>
    <col min="3" max="3" width="15.88671875" style="4" bestFit="1" customWidth="1"/>
    <col min="4" max="4" width="15.88671875" style="5" customWidth="1"/>
    <col min="5" max="5" width="15.88671875" style="3" customWidth="1"/>
    <col min="6" max="6" width="15.88671875" style="1" customWidth="1"/>
    <col min="7" max="7" width="15.88671875" style="3" customWidth="1"/>
    <col min="8" max="8" width="9.88671875" style="1" bestFit="1" customWidth="1"/>
    <col min="9" max="9" width="9" style="1" bestFit="1" customWidth="1"/>
    <col min="10" max="10" width="8.88671875" style="1"/>
    <col min="11" max="11" width="13.6640625" style="1" bestFit="1" customWidth="1"/>
    <col min="12" max="12" width="25" style="1" bestFit="1" customWidth="1"/>
    <col min="13" max="13" width="10.109375" style="1" bestFit="1" customWidth="1"/>
    <col min="14" max="14" width="8.88671875" style="1"/>
    <col min="15" max="15" width="9.88671875" style="3" bestFit="1" customWidth="1"/>
    <col min="16" max="16" width="9.6640625" style="2" bestFit="1" customWidth="1"/>
    <col min="17" max="17" width="8.88671875" style="2"/>
    <col min="18" max="18" width="8.88671875" style="7"/>
    <col min="19" max="19" width="8.88671875" style="10"/>
    <col min="20" max="20" width="11" style="10" bestFit="1" customWidth="1"/>
    <col min="21" max="21" width="10.109375" style="9" bestFit="1" customWidth="1"/>
  </cols>
  <sheetData>
    <row r="1" spans="1:21" x14ac:dyDescent="0.3">
      <c r="A1" s="1" t="s">
        <v>44</v>
      </c>
      <c r="B1" s="1" t="s">
        <v>140</v>
      </c>
      <c r="C1" s="4" t="s">
        <v>141</v>
      </c>
      <c r="D1" s="5" t="s">
        <v>788</v>
      </c>
      <c r="E1" s="3" t="s">
        <v>789</v>
      </c>
      <c r="F1" s="1" t="s">
        <v>795</v>
      </c>
      <c r="G1" t="s">
        <v>755</v>
      </c>
      <c r="H1" s="1" t="s">
        <v>142</v>
      </c>
      <c r="I1" s="1" t="s">
        <v>143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3" t="s">
        <v>46</v>
      </c>
      <c r="P1" s="2" t="s">
        <v>95</v>
      </c>
      <c r="Q1" s="2" t="s">
        <v>780</v>
      </c>
      <c r="R1" s="7" t="s">
        <v>779</v>
      </c>
      <c r="S1" s="10" t="s">
        <v>781</v>
      </c>
      <c r="T1" s="10" t="s">
        <v>787</v>
      </c>
      <c r="U1" s="9" t="s">
        <v>782</v>
      </c>
    </row>
    <row r="2" spans="1:21" x14ac:dyDescent="0.3">
      <c r="A2" s="1">
        <v>1</v>
      </c>
      <c r="B2" s="1" t="s">
        <v>144</v>
      </c>
      <c r="C2" s="4">
        <v>45334.294664351852</v>
      </c>
      <c r="D2" s="5">
        <f>INT(C2)</f>
        <v>45334</v>
      </c>
      <c r="E2" s="3">
        <f>HOUR(C2)</f>
        <v>7</v>
      </c>
      <c r="F2" s="1" t="str" cm="1">
        <f t="array" ref="F2">_xlfn.IFS(
E2&lt;11,"Morning",
E2&lt;15,"Afternoon",
TRUE,"Evening"
)</f>
        <v>Morning</v>
      </c>
      <c r="G2" s="3" t="str">
        <f>TEXT(C2,"ddd")</f>
        <v>Mon</v>
      </c>
      <c r="H2" s="1" t="s">
        <v>145</v>
      </c>
      <c r="I2" s="1" t="s">
        <v>146</v>
      </c>
      <c r="J2" s="1" t="s">
        <v>111</v>
      </c>
      <c r="K2" s="1" t="str">
        <f>_xlfn.XLOOKUP($J2, items_clean!$A:$A, items_clean!$B:$B, "")</f>
        <v>HDR-ESP</v>
      </c>
      <c r="L2" s="1" t="str">
        <f>_xlfn.XLOOKUP($J2, items_clean!$A:$A, items_clean!$C:$C, "")</f>
        <v>Espresso</v>
      </c>
      <c r="M2" s="1" t="str">
        <f>_xlfn.XLOOKUP($J2, items_clean!$A:$A, items_clean!$D:$D, "")</f>
        <v>Hot Drinks</v>
      </c>
      <c r="N2" s="1" t="str">
        <f>_xlfn.XLOOKUP($J2, items_clean!$A:$A, items_clean!$E:$E, "")</f>
        <v>N/A</v>
      </c>
      <c r="O2" s="3">
        <v>1</v>
      </c>
      <c r="P2" s="2">
        <f>_xlfn.XLOOKUP($J2, items_clean!$A:$A, items_clean!$F:$F, "")</f>
        <v>2.15</v>
      </c>
      <c r="Q2" s="2">
        <f>O2*P2</f>
        <v>2.15</v>
      </c>
      <c r="R2" s="7">
        <f>_xlfn.XLOOKUP(K2, recipe_cost!$A:$A, recipe_cost!$B:$B, "")</f>
        <v>9.6000000000000002E-2</v>
      </c>
      <c r="S2" s="10">
        <f>O2 * R2</f>
        <v>9.6000000000000002E-2</v>
      </c>
      <c r="T2" s="10">
        <f>Q2-S2</f>
        <v>2.0539999999999998</v>
      </c>
      <c r="U2" s="9">
        <f>IF(Q2=0,"",T2/Q2)</f>
        <v>0.9553488372093023</v>
      </c>
    </row>
    <row r="3" spans="1:21" x14ac:dyDescent="0.3">
      <c r="A3" s="1">
        <v>2</v>
      </c>
      <c r="B3" s="1" t="s">
        <v>147</v>
      </c>
      <c r="C3" s="4">
        <v>45334.298356481479</v>
      </c>
      <c r="D3" s="5">
        <f t="shared" ref="D3:D66" si="0">INT(C3)</f>
        <v>45334</v>
      </c>
      <c r="E3" s="3">
        <f t="shared" ref="E3:E66" si="1">HOUR(C3)</f>
        <v>7</v>
      </c>
      <c r="F3" s="1" t="str" cm="1">
        <f t="array" ref="F3">_xlfn.IFS(
E3&lt;11,"Morning",
E3&lt;15,"Afternoon",
TRUE,"Evening"
)</f>
        <v>Morning</v>
      </c>
      <c r="G3" s="3" t="str">
        <f t="shared" ref="G3:G66" si="2">TEXT(C3,"ddd")</f>
        <v>Mon</v>
      </c>
      <c r="H3" s="1" t="s">
        <v>148</v>
      </c>
      <c r="I3" s="1" t="s">
        <v>149</v>
      </c>
      <c r="J3" s="1" t="s">
        <v>121</v>
      </c>
      <c r="K3" s="1" t="str">
        <f>_xlfn.XLOOKUP($J3, items_clean!$A:$A, items_clean!$B:$B, "")</f>
        <v>HDR-HCH-LG</v>
      </c>
      <c r="L3" s="1" t="str">
        <f>_xlfn.XLOOKUP($J3, items_clean!$A:$A, items_clean!$C:$C, "")</f>
        <v>Hot Chocolate</v>
      </c>
      <c r="M3" s="1" t="str">
        <f>_xlfn.XLOOKUP($J3, items_clean!$A:$A, items_clean!$D:$D, "")</f>
        <v>Hot Drinks</v>
      </c>
      <c r="N3" s="1" t="str">
        <f>_xlfn.XLOOKUP($J3, items_clean!$A:$A, items_clean!$E:$E, "")</f>
        <v>Large</v>
      </c>
      <c r="O3" s="3">
        <v>1</v>
      </c>
      <c r="P3" s="2">
        <f>_xlfn.XLOOKUP($J3, items_clean!$A:$A, items_clean!$F:$F, "")</f>
        <v>4.5999999999999996</v>
      </c>
      <c r="Q3" s="2">
        <f t="shared" ref="Q3:Q66" si="3">O3*P3</f>
        <v>4.5999999999999996</v>
      </c>
      <c r="R3" s="7">
        <f>_xlfn.XLOOKUP(K3, recipe_cost!$A:$A, recipe_cost!$B:$B, "")</f>
        <v>1.4809999999999999</v>
      </c>
      <c r="S3" s="10">
        <f t="shared" ref="S3:S66" si="4">O3 * R3</f>
        <v>1.4809999999999999</v>
      </c>
      <c r="T3" s="10">
        <f t="shared" ref="T3:T66" si="5">Q3-S3</f>
        <v>3.1189999999999998</v>
      </c>
      <c r="U3" s="9">
        <f t="shared" ref="U3:U66" si="6">IF(Q3=0,"",T3/Q3)</f>
        <v>0.67804347826086953</v>
      </c>
    </row>
    <row r="4" spans="1:21" x14ac:dyDescent="0.3">
      <c r="A4" s="1">
        <v>3</v>
      </c>
      <c r="B4" s="1" t="s">
        <v>150</v>
      </c>
      <c r="C4" s="4">
        <v>45334.301724537036</v>
      </c>
      <c r="D4" s="5">
        <f t="shared" si="0"/>
        <v>45334</v>
      </c>
      <c r="E4" s="3">
        <f t="shared" si="1"/>
        <v>7</v>
      </c>
      <c r="F4" s="1" t="str" cm="1">
        <f t="array" ref="F4">_xlfn.IFS(
E4&lt;11,"Morning",
E4&lt;15,"Afternoon",
TRUE,"Evening"
)</f>
        <v>Morning</v>
      </c>
      <c r="G4" s="3" t="str">
        <f t="shared" si="2"/>
        <v>Mon</v>
      </c>
      <c r="H4" s="1" t="s">
        <v>151</v>
      </c>
      <c r="I4" s="1" t="s">
        <v>146</v>
      </c>
      <c r="J4" s="1" t="s">
        <v>111</v>
      </c>
      <c r="K4" s="1" t="str">
        <f>_xlfn.XLOOKUP($J4, items_clean!$A:$A, items_clean!$B:$B, "")</f>
        <v>HDR-ESP</v>
      </c>
      <c r="L4" s="1" t="str">
        <f>_xlfn.XLOOKUP($J4, items_clean!$A:$A, items_clean!$C:$C, "")</f>
        <v>Espresso</v>
      </c>
      <c r="M4" s="1" t="str">
        <f>_xlfn.XLOOKUP($J4, items_clean!$A:$A, items_clean!$D:$D, "")</f>
        <v>Hot Drinks</v>
      </c>
      <c r="N4" s="1" t="str">
        <f>_xlfn.XLOOKUP($J4, items_clean!$A:$A, items_clean!$E:$E, "")</f>
        <v>N/A</v>
      </c>
      <c r="O4" s="3">
        <v>1</v>
      </c>
      <c r="P4" s="2">
        <f>_xlfn.XLOOKUP($J4, items_clean!$A:$A, items_clean!$F:$F, "")</f>
        <v>2.15</v>
      </c>
      <c r="Q4" s="2">
        <f t="shared" si="3"/>
        <v>2.15</v>
      </c>
      <c r="R4" s="7">
        <f>_xlfn.XLOOKUP(K4, recipe_cost!$A:$A, recipe_cost!$B:$B, "")</f>
        <v>9.6000000000000002E-2</v>
      </c>
      <c r="S4" s="10">
        <f t="shared" si="4"/>
        <v>9.6000000000000002E-2</v>
      </c>
      <c r="T4" s="10">
        <f t="shared" si="5"/>
        <v>2.0539999999999998</v>
      </c>
      <c r="U4" s="9">
        <f t="shared" si="6"/>
        <v>0.9553488372093023</v>
      </c>
    </row>
    <row r="5" spans="1:21" x14ac:dyDescent="0.3">
      <c r="A5" s="1">
        <v>4</v>
      </c>
      <c r="B5" s="1" t="s">
        <v>152</v>
      </c>
      <c r="C5" s="4">
        <v>45334.304618055554</v>
      </c>
      <c r="D5" s="5">
        <f t="shared" si="0"/>
        <v>45334</v>
      </c>
      <c r="E5" s="3">
        <f t="shared" si="1"/>
        <v>7</v>
      </c>
      <c r="F5" s="1" t="str" cm="1">
        <f t="array" ref="F5">_xlfn.IFS(
E5&lt;11,"Morning",
E5&lt;15,"Afternoon",
TRUE,"Evening"
)</f>
        <v>Morning</v>
      </c>
      <c r="G5" s="3" t="str">
        <f t="shared" si="2"/>
        <v>Mon</v>
      </c>
      <c r="H5" s="1" t="s">
        <v>153</v>
      </c>
      <c r="I5" s="1" t="s">
        <v>146</v>
      </c>
      <c r="J5" s="1" t="s">
        <v>129</v>
      </c>
      <c r="K5" s="1" t="str">
        <f>_xlfn.XLOOKUP($J5, items_clean!$A:$A, items_clean!$B:$B, "")</f>
        <v>CDR-ICT-MD</v>
      </c>
      <c r="L5" s="1" t="str">
        <f>_xlfn.XLOOKUP($J5, items_clean!$A:$A, items_clean!$C:$C, "")</f>
        <v>Iced Tea</v>
      </c>
      <c r="M5" s="1" t="str">
        <f>_xlfn.XLOOKUP($J5, items_clean!$A:$A, items_clean!$D:$D, "")</f>
        <v>Cold Drinks</v>
      </c>
      <c r="N5" s="1" t="str">
        <f>_xlfn.XLOOKUP($J5, items_clean!$A:$A, items_clean!$E:$E, "")</f>
        <v>Medium</v>
      </c>
      <c r="O5" s="3">
        <v>1</v>
      </c>
      <c r="P5" s="2">
        <f>_xlfn.XLOOKUP($J5, items_clean!$A:$A, items_clean!$F:$F, "")</f>
        <v>3.25</v>
      </c>
      <c r="Q5" s="2">
        <f t="shared" si="3"/>
        <v>3.25</v>
      </c>
      <c r="R5" s="7">
        <f>_xlfn.XLOOKUP(K5, recipe_cost!$A:$A, recipe_cost!$B:$B, "")</f>
        <v>0.19</v>
      </c>
      <c r="S5" s="10">
        <f t="shared" si="4"/>
        <v>0.19</v>
      </c>
      <c r="T5" s="10">
        <f t="shared" si="5"/>
        <v>3.06</v>
      </c>
      <c r="U5" s="9">
        <f t="shared" si="6"/>
        <v>0.94153846153846155</v>
      </c>
    </row>
    <row r="6" spans="1:21" x14ac:dyDescent="0.3">
      <c r="A6" s="1">
        <v>5</v>
      </c>
      <c r="B6" s="1" t="s">
        <v>154</v>
      </c>
      <c r="C6" s="4">
        <v>45334.308148148149</v>
      </c>
      <c r="D6" s="5">
        <f t="shared" si="0"/>
        <v>45334</v>
      </c>
      <c r="E6" s="3">
        <f t="shared" si="1"/>
        <v>7</v>
      </c>
      <c r="F6" s="1" t="str" cm="1">
        <f t="array" ref="F6">_xlfn.IFS(
E6&lt;11,"Morning",
E6&lt;15,"Afternoon",
TRUE,"Evening"
)</f>
        <v>Morning</v>
      </c>
      <c r="G6" s="3" t="str">
        <f t="shared" si="2"/>
        <v>Mon</v>
      </c>
      <c r="H6" s="1" t="s">
        <v>155</v>
      </c>
      <c r="I6" s="1" t="s">
        <v>146</v>
      </c>
      <c r="J6" s="1" t="s">
        <v>138</v>
      </c>
      <c r="K6" s="1" t="str">
        <f>_xlfn.XLOOKUP($J6, items_clean!$A:$A, items_clean!$B:$B, "")</f>
        <v>SNK-SSM</v>
      </c>
      <c r="L6" s="1" t="str">
        <f>_xlfn.XLOOKUP($J6, items_clean!$A:$A, items_clean!$C:$C, "")</f>
        <v>Sandwich Salami&amp;Mozzarella</v>
      </c>
      <c r="M6" s="1" t="str">
        <f>_xlfn.XLOOKUP($J6, items_clean!$A:$A, items_clean!$D:$D, "")</f>
        <v>Snacks</v>
      </c>
      <c r="N6" s="1" t="str">
        <f>_xlfn.XLOOKUP($J6, items_clean!$A:$A, items_clean!$E:$E, "")</f>
        <v>N/A</v>
      </c>
      <c r="O6" s="3">
        <v>1</v>
      </c>
      <c r="P6" s="2">
        <f>_xlfn.XLOOKUP($J6, items_clean!$A:$A, items_clean!$F:$F, "")</f>
        <v>5.5</v>
      </c>
      <c r="Q6" s="2">
        <f t="shared" si="3"/>
        <v>5.5</v>
      </c>
      <c r="R6" s="7">
        <f>_xlfn.XLOOKUP(K6, recipe_cost!$A:$A, recipe_cost!$B:$B, "")</f>
        <v>1.3120000000000001</v>
      </c>
      <c r="S6" s="10">
        <f t="shared" si="4"/>
        <v>1.3120000000000001</v>
      </c>
      <c r="T6" s="10">
        <f t="shared" si="5"/>
        <v>4.1879999999999997</v>
      </c>
      <c r="U6" s="9">
        <f t="shared" si="6"/>
        <v>0.76145454545454538</v>
      </c>
    </row>
    <row r="7" spans="1:21" x14ac:dyDescent="0.3">
      <c r="A7" s="1">
        <v>6</v>
      </c>
      <c r="B7" s="1" t="s">
        <v>156</v>
      </c>
      <c r="C7" s="4">
        <v>45334.311342592591</v>
      </c>
      <c r="D7" s="5">
        <f t="shared" si="0"/>
        <v>45334</v>
      </c>
      <c r="E7" s="3">
        <f t="shared" si="1"/>
        <v>7</v>
      </c>
      <c r="F7" s="1" t="str" cm="1">
        <f t="array" ref="F7">_xlfn.IFS(
E7&lt;11,"Morning",
E7&lt;15,"Afternoon",
TRUE,"Evening"
)</f>
        <v>Morning</v>
      </c>
      <c r="G7" s="3" t="str">
        <f t="shared" si="2"/>
        <v>Mon</v>
      </c>
      <c r="H7" s="1" t="s">
        <v>157</v>
      </c>
      <c r="I7" s="1" t="s">
        <v>149</v>
      </c>
      <c r="J7" s="1" t="s">
        <v>96</v>
      </c>
      <c r="K7" s="1" t="str">
        <f>_xlfn.XLOOKUP($J7, items_clean!$A:$A, items_clean!$B:$B, "")</f>
        <v>HDR-CAP-MD</v>
      </c>
      <c r="L7" s="1" t="str">
        <f>_xlfn.XLOOKUP($J7, items_clean!$A:$A, items_clean!$C:$C, "")</f>
        <v>Cappuccino</v>
      </c>
      <c r="M7" s="1" t="str">
        <f>_xlfn.XLOOKUP($J7, items_clean!$A:$A, items_clean!$D:$D, "")</f>
        <v>Hot Drinks</v>
      </c>
      <c r="N7" s="1" t="str">
        <f>_xlfn.XLOOKUP($J7, items_clean!$A:$A, items_clean!$E:$E, "")</f>
        <v>Medium</v>
      </c>
      <c r="O7" s="3">
        <v>1</v>
      </c>
      <c r="P7" s="2">
        <f>_xlfn.XLOOKUP($J7, items_clean!$A:$A, items_clean!$F:$F, "")</f>
        <v>3.45</v>
      </c>
      <c r="Q7" s="2">
        <f t="shared" si="3"/>
        <v>3.45</v>
      </c>
      <c r="R7" s="7">
        <f>_xlfn.XLOOKUP(K7, recipe_cost!$A:$A, recipe_cost!$B:$B, "")</f>
        <v>0.252</v>
      </c>
      <c r="S7" s="10">
        <f t="shared" si="4"/>
        <v>0.252</v>
      </c>
      <c r="T7" s="10">
        <f t="shared" si="5"/>
        <v>3.1980000000000004</v>
      </c>
      <c r="U7" s="9">
        <f t="shared" si="6"/>
        <v>0.92695652173913046</v>
      </c>
    </row>
    <row r="8" spans="1:21" x14ac:dyDescent="0.3">
      <c r="A8" s="1">
        <v>7</v>
      </c>
      <c r="B8" s="1" t="s">
        <v>156</v>
      </c>
      <c r="C8" s="4">
        <v>45334.311342592591</v>
      </c>
      <c r="D8" s="5">
        <f t="shared" si="0"/>
        <v>45334</v>
      </c>
      <c r="E8" s="3">
        <f t="shared" si="1"/>
        <v>7</v>
      </c>
      <c r="F8" s="1" t="str" cm="1">
        <f t="array" ref="F8">_xlfn.IFS(
E8&lt;11,"Morning",
E8&lt;15,"Afternoon",
TRUE,"Evening"
)</f>
        <v>Morning</v>
      </c>
      <c r="G8" s="3" t="str">
        <f t="shared" si="2"/>
        <v>Mon</v>
      </c>
      <c r="H8" s="1" t="s">
        <v>157</v>
      </c>
      <c r="I8" s="1" t="s">
        <v>149</v>
      </c>
      <c r="J8" s="1" t="s">
        <v>125</v>
      </c>
      <c r="K8" s="1" t="str">
        <f>_xlfn.XLOOKUP($J8, items_clean!$A:$A, items_clean!$B:$B, "")</f>
        <v>CDR-CCF-LG</v>
      </c>
      <c r="L8" s="1" t="str">
        <f>_xlfn.XLOOKUP($J8, items_clean!$A:$A, items_clean!$C:$C, "")</f>
        <v>Cold Coffee</v>
      </c>
      <c r="M8" s="1" t="str">
        <f>_xlfn.XLOOKUP($J8, items_clean!$A:$A, items_clean!$D:$D, "")</f>
        <v>Cold Drinks</v>
      </c>
      <c r="N8" s="1" t="str">
        <f>_xlfn.XLOOKUP($J8, items_clean!$A:$A, items_clean!$E:$E, "")</f>
        <v>Large</v>
      </c>
      <c r="O8" s="3">
        <v>1</v>
      </c>
      <c r="P8" s="2">
        <f>_xlfn.XLOOKUP($J8, items_clean!$A:$A, items_clean!$F:$F, "")</f>
        <v>3.75</v>
      </c>
      <c r="Q8" s="2">
        <f t="shared" si="3"/>
        <v>3.75</v>
      </c>
      <c r="R8" s="7">
        <f>_xlfn.XLOOKUP(K8, recipe_cost!$A:$A, recipe_cost!$B:$B, "")</f>
        <v>0.33599999999999997</v>
      </c>
      <c r="S8" s="10">
        <f t="shared" si="4"/>
        <v>0.33599999999999997</v>
      </c>
      <c r="T8" s="10">
        <f t="shared" si="5"/>
        <v>3.4140000000000001</v>
      </c>
      <c r="U8" s="9">
        <f t="shared" si="6"/>
        <v>0.91039999999999999</v>
      </c>
    </row>
    <row r="9" spans="1:21" x14ac:dyDescent="0.3">
      <c r="A9" s="1">
        <v>8</v>
      </c>
      <c r="B9" s="1" t="s">
        <v>158</v>
      </c>
      <c r="C9" s="4">
        <v>45334.315254629626</v>
      </c>
      <c r="D9" s="5">
        <f t="shared" si="0"/>
        <v>45334</v>
      </c>
      <c r="E9" s="3">
        <f t="shared" si="1"/>
        <v>7</v>
      </c>
      <c r="F9" s="1" t="str" cm="1">
        <f t="array" ref="F9">_xlfn.IFS(
E9&lt;11,"Morning",
E9&lt;15,"Afternoon",
TRUE,"Evening"
)</f>
        <v>Morning</v>
      </c>
      <c r="G9" s="3" t="str">
        <f t="shared" si="2"/>
        <v>Mon</v>
      </c>
      <c r="H9" s="1" t="s">
        <v>159</v>
      </c>
      <c r="I9" s="1" t="s">
        <v>146</v>
      </c>
      <c r="J9" s="1" t="s">
        <v>105</v>
      </c>
      <c r="K9" s="1" t="str">
        <f>_xlfn.XLOOKUP($J9, items_clean!$A:$A, items_clean!$B:$B, "")</f>
        <v>HDR-FLT</v>
      </c>
      <c r="L9" s="1" t="str">
        <f>_xlfn.XLOOKUP($J9, items_clean!$A:$A, items_clean!$C:$C, "")</f>
        <v>Flat White</v>
      </c>
      <c r="M9" s="1" t="str">
        <f>_xlfn.XLOOKUP($J9, items_clean!$A:$A, items_clean!$D:$D, "")</f>
        <v>Hot Drinks</v>
      </c>
      <c r="N9" s="1" t="str">
        <f>_xlfn.XLOOKUP($J9, items_clean!$A:$A, items_clean!$E:$E, "")</f>
        <v>N/A</v>
      </c>
      <c r="O9" s="3">
        <v>1</v>
      </c>
      <c r="P9" s="2">
        <f>_xlfn.XLOOKUP($J9, items_clean!$A:$A, items_clean!$F:$F, "")</f>
        <v>3.15</v>
      </c>
      <c r="Q9" s="2">
        <f t="shared" si="3"/>
        <v>3.15</v>
      </c>
      <c r="R9" s="7">
        <f>_xlfn.XLOOKUP(K9, recipe_cost!$A:$A, recipe_cost!$B:$B, "")</f>
        <v>0.28799999999999998</v>
      </c>
      <c r="S9" s="10">
        <f t="shared" si="4"/>
        <v>0.28799999999999998</v>
      </c>
      <c r="T9" s="10">
        <f t="shared" si="5"/>
        <v>2.8620000000000001</v>
      </c>
      <c r="U9" s="9">
        <f t="shared" si="6"/>
        <v>0.90857142857142859</v>
      </c>
    </row>
    <row r="10" spans="1:21" x14ac:dyDescent="0.3">
      <c r="A10" s="1">
        <v>9</v>
      </c>
      <c r="B10" s="1" t="s">
        <v>158</v>
      </c>
      <c r="C10" s="4">
        <v>45334.315254629626</v>
      </c>
      <c r="D10" s="5">
        <f t="shared" si="0"/>
        <v>45334</v>
      </c>
      <c r="E10" s="3">
        <f t="shared" si="1"/>
        <v>7</v>
      </c>
      <c r="F10" s="1" t="str" cm="1">
        <f t="array" ref="F10">_xlfn.IFS(
E10&lt;11,"Morning",
E10&lt;15,"Afternoon",
TRUE,"Evening"
)</f>
        <v>Morning</v>
      </c>
      <c r="G10" s="3" t="str">
        <f t="shared" si="2"/>
        <v>Mon</v>
      </c>
      <c r="H10" s="1" t="s">
        <v>159</v>
      </c>
      <c r="I10" s="1" t="s">
        <v>778</v>
      </c>
      <c r="J10" s="1" t="s">
        <v>131</v>
      </c>
      <c r="K10" s="1" t="str">
        <f>_xlfn.XLOOKUP($J10, items_clean!$A:$A, items_clean!$B:$B, "")</f>
        <v>CDR-ICT-LG</v>
      </c>
      <c r="L10" s="1" t="str">
        <f>_xlfn.XLOOKUP($J10, items_clean!$A:$A, items_clean!$C:$C, "")</f>
        <v>Iced Tea</v>
      </c>
      <c r="M10" s="1" t="str">
        <f>_xlfn.XLOOKUP($J10, items_clean!$A:$A, items_clean!$D:$D, "")</f>
        <v>Cold Drinks</v>
      </c>
      <c r="N10" s="1" t="str">
        <f>_xlfn.XLOOKUP($J10, items_clean!$A:$A, items_clean!$E:$E, "")</f>
        <v>Large</v>
      </c>
      <c r="O10" s="3">
        <v>1</v>
      </c>
      <c r="P10" s="2">
        <f>_xlfn.XLOOKUP($J10, items_clean!$A:$A, items_clean!$F:$F, "")</f>
        <v>3.55</v>
      </c>
      <c r="Q10" s="2">
        <f t="shared" si="3"/>
        <v>3.55</v>
      </c>
      <c r="R10" s="7">
        <f>_xlfn.XLOOKUP(K10, recipe_cost!$A:$A, recipe_cost!$B:$B, "")</f>
        <v>0.26984999999999998</v>
      </c>
      <c r="S10" s="10">
        <f t="shared" si="4"/>
        <v>0.26984999999999998</v>
      </c>
      <c r="T10" s="10">
        <f t="shared" si="5"/>
        <v>3.2801499999999999</v>
      </c>
      <c r="U10" s="9">
        <f t="shared" si="6"/>
        <v>0.92398591549295772</v>
      </c>
    </row>
    <row r="11" spans="1:21" x14ac:dyDescent="0.3">
      <c r="A11" s="1">
        <v>10</v>
      </c>
      <c r="B11" s="1" t="s">
        <v>160</v>
      </c>
      <c r="C11" s="4">
        <v>45334.318773148145</v>
      </c>
      <c r="D11" s="5">
        <f t="shared" si="0"/>
        <v>45334</v>
      </c>
      <c r="E11" s="3">
        <f t="shared" si="1"/>
        <v>7</v>
      </c>
      <c r="F11" s="1" t="str" cm="1">
        <f t="array" ref="F11">_xlfn.IFS(
E11&lt;11,"Morning",
E11&lt;15,"Afternoon",
TRUE,"Evening"
)</f>
        <v>Morning</v>
      </c>
      <c r="G11" s="3" t="str">
        <f t="shared" si="2"/>
        <v>Mon</v>
      </c>
      <c r="H11" s="1" t="s">
        <v>161</v>
      </c>
      <c r="I11" s="1" t="s">
        <v>149</v>
      </c>
      <c r="J11" s="1" t="s">
        <v>108</v>
      </c>
      <c r="K11" s="1" t="str">
        <f>_xlfn.XLOOKUP($J11, items_clean!$A:$A, items_clean!$B:$B, "")</f>
        <v>HDR-CRM-MD</v>
      </c>
      <c r="L11" s="1" t="str">
        <f>_xlfn.XLOOKUP($J11, items_clean!$A:$A, items_clean!$C:$C, "")</f>
        <v>Caramel Macchiato</v>
      </c>
      <c r="M11" s="1" t="str">
        <f>_xlfn.XLOOKUP($J11, items_clean!$A:$A, items_clean!$D:$D, "")</f>
        <v>Hot Drinks</v>
      </c>
      <c r="N11" s="1" t="str">
        <f>_xlfn.XLOOKUP($J11, items_clean!$A:$A, items_clean!$E:$E, "")</f>
        <v>Medium</v>
      </c>
      <c r="O11" s="3">
        <v>1</v>
      </c>
      <c r="P11" s="2">
        <f>_xlfn.XLOOKUP($J11, items_clean!$A:$A, items_clean!$F:$F, "")</f>
        <v>4.2</v>
      </c>
      <c r="Q11" s="2">
        <f t="shared" si="3"/>
        <v>4.2</v>
      </c>
      <c r="R11" s="7">
        <f>_xlfn.XLOOKUP(K11, recipe_cost!$A:$A, recipe_cost!$B:$B, "")</f>
        <v>0.4098</v>
      </c>
      <c r="S11" s="10">
        <f t="shared" si="4"/>
        <v>0.4098</v>
      </c>
      <c r="T11" s="10">
        <f t="shared" si="5"/>
        <v>3.7902</v>
      </c>
      <c r="U11" s="9">
        <f t="shared" si="6"/>
        <v>0.90242857142857136</v>
      </c>
    </row>
    <row r="12" spans="1:21" x14ac:dyDescent="0.3">
      <c r="A12" s="1">
        <v>11</v>
      </c>
      <c r="B12" s="1" t="s">
        <v>160</v>
      </c>
      <c r="C12" s="4">
        <v>45334.318761574075</v>
      </c>
      <c r="D12" s="5">
        <f t="shared" si="0"/>
        <v>45334</v>
      </c>
      <c r="E12" s="3">
        <f t="shared" si="1"/>
        <v>7</v>
      </c>
      <c r="F12" s="1" t="str" cm="1">
        <f t="array" ref="F12">_xlfn.IFS(
E12&lt;11,"Morning",
E12&lt;15,"Afternoon",
TRUE,"Evening"
)</f>
        <v>Morning</v>
      </c>
      <c r="G12" s="3" t="str">
        <f t="shared" si="2"/>
        <v>Mon</v>
      </c>
      <c r="H12" s="1" t="s">
        <v>161</v>
      </c>
      <c r="I12" s="1" t="s">
        <v>778</v>
      </c>
      <c r="J12" s="1" t="s">
        <v>128</v>
      </c>
      <c r="K12" s="1" t="str">
        <f>_xlfn.XLOOKUP($J12, items_clean!$A:$A, items_clean!$B:$B, "")</f>
        <v>CDR-CMO-LG</v>
      </c>
      <c r="L12" s="1" t="str">
        <f>_xlfn.XLOOKUP($J12, items_clean!$A:$A, items_clean!$C:$C, "")</f>
        <v>Cold Mocha</v>
      </c>
      <c r="M12" s="1" t="str">
        <f>_xlfn.XLOOKUP($J12, items_clean!$A:$A, items_clean!$D:$D, "")</f>
        <v>Cold Drinks</v>
      </c>
      <c r="N12" s="1" t="str">
        <f>_xlfn.XLOOKUP($J12, items_clean!$A:$A, items_clean!$E:$E, "")</f>
        <v>Large</v>
      </c>
      <c r="O12" s="3">
        <v>1</v>
      </c>
      <c r="P12" s="2">
        <f>_xlfn.XLOOKUP($J12, items_clean!$A:$A, items_clean!$F:$F, "")</f>
        <v>4.5999999999999996</v>
      </c>
      <c r="Q12" s="2">
        <f t="shared" si="3"/>
        <v>4.5999999999999996</v>
      </c>
      <c r="R12" s="7">
        <f>_xlfn.XLOOKUP(K12, recipe_cost!$A:$A, recipe_cost!$B:$B, "")</f>
        <v>0.56669999999999998</v>
      </c>
      <c r="S12" s="10">
        <f t="shared" si="4"/>
        <v>0.56669999999999998</v>
      </c>
      <c r="T12" s="10">
        <f t="shared" si="5"/>
        <v>4.0332999999999997</v>
      </c>
      <c r="U12" s="9">
        <f t="shared" si="6"/>
        <v>0.87680434782608696</v>
      </c>
    </row>
    <row r="13" spans="1:21" x14ac:dyDescent="0.3">
      <c r="A13" s="1">
        <v>12</v>
      </c>
      <c r="B13" s="1" t="s">
        <v>162</v>
      </c>
      <c r="C13" s="4">
        <v>45334.322245370371</v>
      </c>
      <c r="D13" s="5">
        <f t="shared" si="0"/>
        <v>45334</v>
      </c>
      <c r="E13" s="3">
        <f t="shared" si="1"/>
        <v>7</v>
      </c>
      <c r="F13" s="1" t="str" cm="1">
        <f t="array" ref="F13">_xlfn.IFS(
E13&lt;11,"Morning",
E13&lt;15,"Afternoon",
TRUE,"Evening"
)</f>
        <v>Morning</v>
      </c>
      <c r="G13" s="3" t="str">
        <f t="shared" si="2"/>
        <v>Mon</v>
      </c>
      <c r="H13" s="1" t="s">
        <v>163</v>
      </c>
      <c r="I13" s="1" t="s">
        <v>146</v>
      </c>
      <c r="J13" s="1" t="s">
        <v>135</v>
      </c>
      <c r="K13" s="1" t="str">
        <f>_xlfn.XLOOKUP($J13, items_clean!$A:$A, items_clean!$B:$B, "")</f>
        <v>SNK-SHC</v>
      </c>
      <c r="L13" s="1" t="str">
        <f>_xlfn.XLOOKUP($J13, items_clean!$A:$A, items_clean!$C:$C, "")</f>
        <v>Sandwich Ham&amp;Cheese</v>
      </c>
      <c r="M13" s="1" t="str">
        <f>_xlfn.XLOOKUP($J13, items_clean!$A:$A, items_clean!$D:$D, "")</f>
        <v>Snacks</v>
      </c>
      <c r="N13" s="1" t="str">
        <f>_xlfn.XLOOKUP($J13, items_clean!$A:$A, items_clean!$E:$E, "")</f>
        <v>N/A</v>
      </c>
      <c r="O13" s="3">
        <v>1</v>
      </c>
      <c r="P13" s="2">
        <f>_xlfn.XLOOKUP($J13, items_clean!$A:$A, items_clean!$F:$F, "")</f>
        <v>5.6</v>
      </c>
      <c r="Q13" s="2">
        <f t="shared" si="3"/>
        <v>5.6</v>
      </c>
      <c r="R13" s="7">
        <f>_xlfn.XLOOKUP(K13, recipe_cost!$A:$A, recipe_cost!$B:$B, "")</f>
        <v>2.0105</v>
      </c>
      <c r="S13" s="10">
        <f t="shared" si="4"/>
        <v>2.0105</v>
      </c>
      <c r="T13" s="10">
        <f t="shared" si="5"/>
        <v>3.5894999999999997</v>
      </c>
      <c r="U13" s="9">
        <f t="shared" si="6"/>
        <v>0.64098214285714283</v>
      </c>
    </row>
    <row r="14" spans="1:21" x14ac:dyDescent="0.3">
      <c r="A14" s="1">
        <v>13</v>
      </c>
      <c r="B14" s="1" t="s">
        <v>162</v>
      </c>
      <c r="C14" s="4">
        <v>45334.322256944448</v>
      </c>
      <c r="D14" s="5">
        <f t="shared" si="0"/>
        <v>45334</v>
      </c>
      <c r="E14" s="3">
        <f t="shared" si="1"/>
        <v>7</v>
      </c>
      <c r="F14" s="1" t="str" cm="1">
        <f t="array" ref="F14">_xlfn.IFS(
E14&lt;11,"Morning",
E14&lt;15,"Afternoon",
TRUE,"Evening"
)</f>
        <v>Morning</v>
      </c>
      <c r="G14" s="3" t="str">
        <f t="shared" si="2"/>
        <v>Mon</v>
      </c>
      <c r="H14" s="1" t="s">
        <v>163</v>
      </c>
      <c r="I14" s="1" t="s">
        <v>778</v>
      </c>
      <c r="J14" s="1" t="s">
        <v>116</v>
      </c>
      <c r="K14" s="1" t="str">
        <f>_xlfn.XLOOKUP($J14, items_clean!$A:$A, items_clean!$B:$B, "")</f>
        <v>HDR-WMO-MD</v>
      </c>
      <c r="L14" s="1" t="str">
        <f>_xlfn.XLOOKUP($J14, items_clean!$A:$A, items_clean!$C:$C, "")</f>
        <v>White Mocha</v>
      </c>
      <c r="M14" s="1" t="str">
        <f>_xlfn.XLOOKUP($J14, items_clean!$A:$A, items_clean!$D:$D, "")</f>
        <v>Hot Drinks</v>
      </c>
      <c r="N14" s="1" t="str">
        <f>_xlfn.XLOOKUP($J14, items_clean!$A:$A, items_clean!$E:$E, "")</f>
        <v>Medium</v>
      </c>
      <c r="O14" s="3">
        <v>1</v>
      </c>
      <c r="P14" s="2">
        <f>_xlfn.XLOOKUP($J14, items_clean!$A:$A, items_clean!$F:$F, "")</f>
        <v>4.5</v>
      </c>
      <c r="Q14" s="2">
        <f t="shared" si="3"/>
        <v>4.5</v>
      </c>
      <c r="R14" s="7">
        <f>_xlfn.XLOOKUP(K14, recipe_cost!$A:$A, recipe_cost!$B:$B, "")</f>
        <v>0.4098</v>
      </c>
      <c r="S14" s="10">
        <f t="shared" si="4"/>
        <v>0.4098</v>
      </c>
      <c r="T14" s="10">
        <f t="shared" si="5"/>
        <v>4.0902000000000003</v>
      </c>
      <c r="U14" s="9">
        <f t="shared" si="6"/>
        <v>0.90893333333333337</v>
      </c>
    </row>
    <row r="15" spans="1:21" x14ac:dyDescent="0.3">
      <c r="A15" s="1">
        <v>14</v>
      </c>
      <c r="B15" s="1" t="s">
        <v>164</v>
      </c>
      <c r="C15" s="4">
        <v>45334.325740740744</v>
      </c>
      <c r="D15" s="5">
        <f t="shared" si="0"/>
        <v>45334</v>
      </c>
      <c r="E15" s="3">
        <f t="shared" si="1"/>
        <v>7</v>
      </c>
      <c r="F15" s="1" t="str" cm="1">
        <f t="array" ref="F15">_xlfn.IFS(
E15&lt;11,"Morning",
E15&lt;15,"Afternoon",
TRUE,"Evening"
)</f>
        <v>Morning</v>
      </c>
      <c r="G15" s="3" t="str">
        <f t="shared" si="2"/>
        <v>Mon</v>
      </c>
      <c r="H15" s="1" t="s">
        <v>165</v>
      </c>
      <c r="I15" s="1" t="s">
        <v>146</v>
      </c>
      <c r="J15" s="1" t="s">
        <v>138</v>
      </c>
      <c r="K15" s="1" t="str">
        <f>_xlfn.XLOOKUP($J15, items_clean!$A:$A, items_clean!$B:$B, "")</f>
        <v>SNK-SSM</v>
      </c>
      <c r="L15" s="1" t="str">
        <f>_xlfn.XLOOKUP($J15, items_clean!$A:$A, items_clean!$C:$C, "")</f>
        <v>Sandwich Salami&amp;Mozzarella</v>
      </c>
      <c r="M15" s="1" t="str">
        <f>_xlfn.XLOOKUP($J15, items_clean!$A:$A, items_clean!$D:$D, "")</f>
        <v>Snacks</v>
      </c>
      <c r="N15" s="1" t="str">
        <f>_xlfn.XLOOKUP($J15, items_clean!$A:$A, items_clean!$E:$E, "")</f>
        <v>N/A</v>
      </c>
      <c r="O15" s="3">
        <v>1</v>
      </c>
      <c r="P15" s="2">
        <f>_xlfn.XLOOKUP($J15, items_clean!$A:$A, items_clean!$F:$F, "")</f>
        <v>5.5</v>
      </c>
      <c r="Q15" s="2">
        <f t="shared" si="3"/>
        <v>5.5</v>
      </c>
      <c r="R15" s="7">
        <f>_xlfn.XLOOKUP(K15, recipe_cost!$A:$A, recipe_cost!$B:$B, "")</f>
        <v>1.3120000000000001</v>
      </c>
      <c r="S15" s="10">
        <f t="shared" si="4"/>
        <v>1.3120000000000001</v>
      </c>
      <c r="T15" s="10">
        <f t="shared" si="5"/>
        <v>4.1879999999999997</v>
      </c>
      <c r="U15" s="9">
        <f t="shared" si="6"/>
        <v>0.76145454545454538</v>
      </c>
    </row>
    <row r="16" spans="1:21" x14ac:dyDescent="0.3">
      <c r="A16" s="1">
        <v>15</v>
      </c>
      <c r="B16" s="1" t="s">
        <v>164</v>
      </c>
      <c r="C16" s="4">
        <v>45334.325752314813</v>
      </c>
      <c r="D16" s="5">
        <f t="shared" si="0"/>
        <v>45334</v>
      </c>
      <c r="E16" s="3">
        <f t="shared" si="1"/>
        <v>7</v>
      </c>
      <c r="F16" s="1" t="str" cm="1">
        <f t="array" ref="F16">_xlfn.IFS(
E16&lt;11,"Morning",
E16&lt;15,"Afternoon",
TRUE,"Evening"
)</f>
        <v>Morning</v>
      </c>
      <c r="G16" s="3" t="str">
        <f t="shared" si="2"/>
        <v>Mon</v>
      </c>
      <c r="H16" s="1" t="s">
        <v>165</v>
      </c>
      <c r="I16" s="1" t="s">
        <v>778</v>
      </c>
      <c r="J16" s="1" t="s">
        <v>121</v>
      </c>
      <c r="K16" s="1" t="str">
        <f>_xlfn.XLOOKUP($J16, items_clean!$A:$A, items_clean!$B:$B, "")</f>
        <v>HDR-HCH-LG</v>
      </c>
      <c r="L16" s="1" t="str">
        <f>_xlfn.XLOOKUP($J16, items_clean!$A:$A, items_clean!$C:$C, "")</f>
        <v>Hot Chocolate</v>
      </c>
      <c r="M16" s="1" t="str">
        <f>_xlfn.XLOOKUP($J16, items_clean!$A:$A, items_clean!$D:$D, "")</f>
        <v>Hot Drinks</v>
      </c>
      <c r="N16" s="1" t="str">
        <f>_xlfn.XLOOKUP($J16, items_clean!$A:$A, items_clean!$E:$E, "")</f>
        <v>Large</v>
      </c>
      <c r="O16" s="3">
        <v>1</v>
      </c>
      <c r="P16" s="2">
        <f>_xlfn.XLOOKUP($J16, items_clean!$A:$A, items_clean!$F:$F, "")</f>
        <v>4.5999999999999996</v>
      </c>
      <c r="Q16" s="2">
        <f t="shared" si="3"/>
        <v>4.5999999999999996</v>
      </c>
      <c r="R16" s="7">
        <f>_xlfn.XLOOKUP(K16, recipe_cost!$A:$A, recipe_cost!$B:$B, "")</f>
        <v>1.4809999999999999</v>
      </c>
      <c r="S16" s="10">
        <f t="shared" si="4"/>
        <v>1.4809999999999999</v>
      </c>
      <c r="T16" s="10">
        <f t="shared" si="5"/>
        <v>3.1189999999999998</v>
      </c>
      <c r="U16" s="9">
        <f t="shared" si="6"/>
        <v>0.67804347826086953</v>
      </c>
    </row>
    <row r="17" spans="1:21" x14ac:dyDescent="0.3">
      <c r="A17" s="1">
        <v>16</v>
      </c>
      <c r="B17" s="1" t="s">
        <v>166</v>
      </c>
      <c r="C17" s="4">
        <v>45334.328541666669</v>
      </c>
      <c r="D17" s="5">
        <f t="shared" si="0"/>
        <v>45334</v>
      </c>
      <c r="E17" s="3">
        <f t="shared" si="1"/>
        <v>7</v>
      </c>
      <c r="F17" s="1" t="str" cm="1">
        <f t="array" ref="F17">_xlfn.IFS(
E17&lt;11,"Morning",
E17&lt;15,"Afternoon",
TRUE,"Evening"
)</f>
        <v>Morning</v>
      </c>
      <c r="G17" s="3" t="str">
        <f t="shared" si="2"/>
        <v>Mon</v>
      </c>
      <c r="H17" s="1" t="s">
        <v>167</v>
      </c>
      <c r="I17" s="1" t="s">
        <v>146</v>
      </c>
      <c r="J17" s="1" t="s">
        <v>102</v>
      </c>
      <c r="K17" s="1" t="str">
        <f>_xlfn.XLOOKUP($J17, items_clean!$A:$A, items_clean!$B:$B, "")</f>
        <v>HDR-LAT-MD</v>
      </c>
      <c r="L17" s="1" t="str">
        <f>_xlfn.XLOOKUP($J17, items_clean!$A:$A, items_clean!$C:$C, "")</f>
        <v>Latte</v>
      </c>
      <c r="M17" s="1" t="str">
        <f>_xlfn.XLOOKUP($J17, items_clean!$A:$A, items_clean!$D:$D, "")</f>
        <v>Hot Drinks</v>
      </c>
      <c r="N17" s="1" t="str">
        <f>_xlfn.XLOOKUP($J17, items_clean!$A:$A, items_clean!$E:$E, "")</f>
        <v>Medium</v>
      </c>
      <c r="O17" s="3">
        <v>1</v>
      </c>
      <c r="P17" s="2">
        <f>_xlfn.XLOOKUP($J17, items_clean!$A:$A, items_clean!$F:$F, "")</f>
        <v>3.45</v>
      </c>
      <c r="Q17" s="2">
        <f t="shared" si="3"/>
        <v>3.45</v>
      </c>
      <c r="R17" s="7">
        <f>_xlfn.XLOOKUP(K17, recipe_cost!$A:$A, recipe_cost!$B:$B, "")</f>
        <v>0.252</v>
      </c>
      <c r="S17" s="10">
        <f t="shared" si="4"/>
        <v>0.252</v>
      </c>
      <c r="T17" s="10">
        <f t="shared" si="5"/>
        <v>3.1980000000000004</v>
      </c>
      <c r="U17" s="9">
        <f t="shared" si="6"/>
        <v>0.92695652173913046</v>
      </c>
    </row>
    <row r="18" spans="1:21" x14ac:dyDescent="0.3">
      <c r="A18" s="1">
        <v>17</v>
      </c>
      <c r="B18" s="1" t="s">
        <v>168</v>
      </c>
      <c r="C18" s="4">
        <v>45334.332025462965</v>
      </c>
      <c r="D18" s="5">
        <f t="shared" si="0"/>
        <v>45334</v>
      </c>
      <c r="E18" s="3">
        <f t="shared" si="1"/>
        <v>7</v>
      </c>
      <c r="F18" s="1" t="str" cm="1">
        <f t="array" ref="F18">_xlfn.IFS(
E18&lt;11,"Morning",
E18&lt;15,"Afternoon",
TRUE,"Evening"
)</f>
        <v>Morning</v>
      </c>
      <c r="G18" s="3" t="str">
        <f t="shared" si="2"/>
        <v>Mon</v>
      </c>
      <c r="H18" s="1" t="s">
        <v>169</v>
      </c>
      <c r="I18" s="1" t="s">
        <v>146</v>
      </c>
      <c r="J18" s="1" t="s">
        <v>110</v>
      </c>
      <c r="K18" s="1" t="str">
        <f>_xlfn.XLOOKUP($J18, items_clean!$A:$A, items_clean!$B:$B, "")</f>
        <v>HDR-CRM-LG</v>
      </c>
      <c r="L18" s="1" t="str">
        <f>_xlfn.XLOOKUP($J18, items_clean!$A:$A, items_clean!$C:$C, "")</f>
        <v>Caramel Macchiato</v>
      </c>
      <c r="M18" s="1" t="str">
        <f>_xlfn.XLOOKUP($J18, items_clean!$A:$A, items_clean!$D:$D, "")</f>
        <v>Hot Drinks</v>
      </c>
      <c r="N18" s="1" t="str">
        <f>_xlfn.XLOOKUP($J18, items_clean!$A:$A, items_clean!$E:$E, "")</f>
        <v>Large</v>
      </c>
      <c r="O18" s="3">
        <v>1</v>
      </c>
      <c r="P18" s="2">
        <f>_xlfn.XLOOKUP($J18, items_clean!$A:$A, items_clean!$F:$F, "")</f>
        <v>4.5999999999999996</v>
      </c>
      <c r="Q18" s="2">
        <f t="shared" si="3"/>
        <v>4.5999999999999996</v>
      </c>
      <c r="R18" s="7">
        <f>_xlfn.XLOOKUP(K18, recipe_cost!$A:$A, recipe_cost!$B:$B, "")</f>
        <v>0.56669999999999998</v>
      </c>
      <c r="S18" s="10">
        <f t="shared" si="4"/>
        <v>0.56669999999999998</v>
      </c>
      <c r="T18" s="10">
        <f t="shared" si="5"/>
        <v>4.0332999999999997</v>
      </c>
      <c r="U18" s="9">
        <f t="shared" si="6"/>
        <v>0.87680434782608696</v>
      </c>
    </row>
    <row r="19" spans="1:21" x14ac:dyDescent="0.3">
      <c r="A19" s="1">
        <v>18</v>
      </c>
      <c r="B19" s="1" t="s">
        <v>170</v>
      </c>
      <c r="C19" s="4">
        <v>45334.335509259261</v>
      </c>
      <c r="D19" s="5">
        <f t="shared" si="0"/>
        <v>45334</v>
      </c>
      <c r="E19" s="3">
        <f t="shared" si="1"/>
        <v>8</v>
      </c>
      <c r="F19" s="1" t="str" cm="1">
        <f t="array" ref="F19">_xlfn.IFS(
E19&lt;11,"Morning",
E19&lt;15,"Afternoon",
TRUE,"Evening"
)</f>
        <v>Morning</v>
      </c>
      <c r="G19" s="3" t="str">
        <f t="shared" si="2"/>
        <v>Mon</v>
      </c>
      <c r="H19" s="1" t="s">
        <v>171</v>
      </c>
      <c r="I19" s="1" t="s">
        <v>149</v>
      </c>
      <c r="J19" s="1" t="s">
        <v>113</v>
      </c>
      <c r="K19" s="1" t="str">
        <f>_xlfn.XLOOKUP($J19, items_clean!$A:$A, items_clean!$B:$B, "")</f>
        <v>HDR-MOC-MD</v>
      </c>
      <c r="L19" s="1" t="str">
        <f>_xlfn.XLOOKUP($J19, items_clean!$A:$A, items_clean!$C:$C, "")</f>
        <v>Mocha</v>
      </c>
      <c r="M19" s="1" t="str">
        <f>_xlfn.XLOOKUP($J19, items_clean!$A:$A, items_clean!$D:$D, "")</f>
        <v>Hot Drinks</v>
      </c>
      <c r="N19" s="1" t="str">
        <f>_xlfn.XLOOKUP($J19, items_clean!$A:$A, items_clean!$E:$E, "")</f>
        <v>Medium</v>
      </c>
      <c r="O19" s="3">
        <v>1</v>
      </c>
      <c r="P19" s="2">
        <f>_xlfn.XLOOKUP($J19, items_clean!$A:$A, items_clean!$F:$F, "")</f>
        <v>4</v>
      </c>
      <c r="Q19" s="2">
        <f t="shared" si="3"/>
        <v>4</v>
      </c>
      <c r="R19" s="7">
        <f>_xlfn.XLOOKUP(K19, recipe_cost!$A:$A, recipe_cost!$B:$B, "")</f>
        <v>0.4098</v>
      </c>
      <c r="S19" s="10">
        <f t="shared" si="4"/>
        <v>0.4098</v>
      </c>
      <c r="T19" s="10">
        <f t="shared" si="5"/>
        <v>3.5901999999999998</v>
      </c>
      <c r="U19" s="9">
        <f t="shared" si="6"/>
        <v>0.89754999999999996</v>
      </c>
    </row>
    <row r="20" spans="1:21" x14ac:dyDescent="0.3">
      <c r="A20" s="1">
        <v>19</v>
      </c>
      <c r="B20" s="1" t="s">
        <v>170</v>
      </c>
      <c r="C20" s="4">
        <v>45334.335520833331</v>
      </c>
      <c r="D20" s="5">
        <f t="shared" si="0"/>
        <v>45334</v>
      </c>
      <c r="E20" s="3">
        <f t="shared" si="1"/>
        <v>8</v>
      </c>
      <c r="F20" s="1" t="str" cm="1">
        <f t="array" ref="F20">_xlfn.IFS(
E20&lt;11,"Morning",
E20&lt;15,"Afternoon",
TRUE,"Evening"
)</f>
        <v>Morning</v>
      </c>
      <c r="G20" s="3" t="str">
        <f t="shared" si="2"/>
        <v>Mon</v>
      </c>
      <c r="H20" s="1" t="s">
        <v>171</v>
      </c>
      <c r="I20" s="1" t="s">
        <v>778</v>
      </c>
      <c r="J20" s="1" t="s">
        <v>132</v>
      </c>
      <c r="K20" s="1" t="str">
        <f>_xlfn.XLOOKUP($J20, items_clean!$A:$A, items_clean!$B:$B, "")</f>
        <v>CDR-LMN-MD</v>
      </c>
      <c r="L20" s="1" t="str">
        <f>_xlfn.XLOOKUP($J20, items_clean!$A:$A, items_clean!$C:$C, "")</f>
        <v>Lemonade</v>
      </c>
      <c r="M20" s="1" t="str">
        <f>_xlfn.XLOOKUP($J20, items_clean!$A:$A, items_clean!$D:$D, "")</f>
        <v>Cold Drinks</v>
      </c>
      <c r="N20" s="1" t="str">
        <f>_xlfn.XLOOKUP($J20, items_clean!$A:$A, items_clean!$E:$E, "")</f>
        <v>Medium</v>
      </c>
      <c r="O20" s="3">
        <v>1</v>
      </c>
      <c r="P20" s="2">
        <f>_xlfn.XLOOKUP($J20, items_clean!$A:$A, items_clean!$F:$F, "")</f>
        <v>3.35</v>
      </c>
      <c r="Q20" s="2">
        <f t="shared" si="3"/>
        <v>3.35</v>
      </c>
      <c r="R20" s="7">
        <f>_xlfn.XLOOKUP(K20, recipe_cost!$A:$A, recipe_cost!$B:$B, "")</f>
        <v>0.34499999999999997</v>
      </c>
      <c r="S20" s="10">
        <f t="shared" si="4"/>
        <v>0.34499999999999997</v>
      </c>
      <c r="T20" s="10">
        <f t="shared" si="5"/>
        <v>3.0049999999999999</v>
      </c>
      <c r="U20" s="9">
        <f t="shared" si="6"/>
        <v>0.89701492537313432</v>
      </c>
    </row>
    <row r="21" spans="1:21" x14ac:dyDescent="0.3">
      <c r="A21" s="1">
        <v>20</v>
      </c>
      <c r="B21" s="1" t="s">
        <v>172</v>
      </c>
      <c r="C21" s="4">
        <v>45334.339004629626</v>
      </c>
      <c r="D21" s="5">
        <f t="shared" si="0"/>
        <v>45334</v>
      </c>
      <c r="E21" s="3">
        <f t="shared" si="1"/>
        <v>8</v>
      </c>
      <c r="F21" s="1" t="str" cm="1">
        <f t="array" ref="F21">_xlfn.IFS(
E21&lt;11,"Morning",
E21&lt;15,"Afternoon",
TRUE,"Evening"
)</f>
        <v>Morning</v>
      </c>
      <c r="G21" s="3" t="str">
        <f t="shared" si="2"/>
        <v>Mon</v>
      </c>
      <c r="H21" s="1" t="s">
        <v>173</v>
      </c>
      <c r="I21" s="1" t="s">
        <v>149</v>
      </c>
      <c r="J21" s="1" t="s">
        <v>118</v>
      </c>
      <c r="K21" s="1" t="str">
        <f>_xlfn.XLOOKUP($J21, items_clean!$A:$A, items_clean!$B:$B, "")</f>
        <v>HDR-WMO-LG</v>
      </c>
      <c r="L21" s="1" t="str">
        <f>_xlfn.XLOOKUP($J21, items_clean!$A:$A, items_clean!$C:$C, "")</f>
        <v>White Mocha</v>
      </c>
      <c r="M21" s="1" t="str">
        <f>_xlfn.XLOOKUP($J21, items_clean!$A:$A, items_clean!$D:$D, "")</f>
        <v>Hot Drinks</v>
      </c>
      <c r="N21" s="1" t="str">
        <f>_xlfn.XLOOKUP($J21, items_clean!$A:$A, items_clean!$E:$E, "")</f>
        <v>Large</v>
      </c>
      <c r="O21" s="3">
        <v>1</v>
      </c>
      <c r="P21" s="2">
        <f>_xlfn.XLOOKUP($J21, items_clean!$A:$A, items_clean!$F:$F, "")</f>
        <v>4.7</v>
      </c>
      <c r="Q21" s="2">
        <f t="shared" si="3"/>
        <v>4.7</v>
      </c>
      <c r="R21" s="7">
        <f>_xlfn.XLOOKUP(K21, recipe_cost!$A:$A, recipe_cost!$B:$B, "")</f>
        <v>0.56669999999999998</v>
      </c>
      <c r="S21" s="10">
        <f t="shared" si="4"/>
        <v>0.56669999999999998</v>
      </c>
      <c r="T21" s="10">
        <f t="shared" si="5"/>
        <v>4.1333000000000002</v>
      </c>
      <c r="U21" s="9">
        <f t="shared" si="6"/>
        <v>0.87942553191489359</v>
      </c>
    </row>
    <row r="22" spans="1:21" x14ac:dyDescent="0.3">
      <c r="A22" s="1">
        <v>21</v>
      </c>
      <c r="B22" s="1" t="s">
        <v>172</v>
      </c>
      <c r="C22" s="4">
        <v>45334.339016203703</v>
      </c>
      <c r="D22" s="5">
        <f t="shared" si="0"/>
        <v>45334</v>
      </c>
      <c r="E22" s="3">
        <f t="shared" si="1"/>
        <v>8</v>
      </c>
      <c r="F22" s="1" t="str" cm="1">
        <f t="array" ref="F22">_xlfn.IFS(
E22&lt;11,"Morning",
E22&lt;15,"Afternoon",
TRUE,"Evening"
)</f>
        <v>Morning</v>
      </c>
      <c r="G22" s="3" t="str">
        <f t="shared" si="2"/>
        <v>Mon</v>
      </c>
      <c r="H22" s="1" t="s">
        <v>173</v>
      </c>
      <c r="I22" s="1" t="s">
        <v>778</v>
      </c>
      <c r="J22" s="1" t="s">
        <v>134</v>
      </c>
      <c r="K22" s="1" t="str">
        <f>_xlfn.XLOOKUP($J22, items_clean!$A:$A, items_clean!$B:$B, "")</f>
        <v>CDR-LMN-LG</v>
      </c>
      <c r="L22" s="1" t="str">
        <f>_xlfn.XLOOKUP($J22, items_clean!$A:$A, items_clean!$C:$C, "")</f>
        <v>Lemonade</v>
      </c>
      <c r="M22" s="1" t="str">
        <f>_xlfn.XLOOKUP($J22, items_clean!$A:$A, items_clean!$D:$D, "")</f>
        <v>Cold Drinks</v>
      </c>
      <c r="N22" s="1" t="str">
        <f>_xlfn.XLOOKUP($J22, items_clean!$A:$A, items_clean!$E:$E, "")</f>
        <v>Large</v>
      </c>
      <c r="O22" s="3">
        <v>1</v>
      </c>
      <c r="P22" s="2">
        <f>_xlfn.XLOOKUP($J22, items_clean!$A:$A, items_clean!$F:$F, "")</f>
        <v>3.75</v>
      </c>
      <c r="Q22" s="2">
        <f t="shared" si="3"/>
        <v>3.75</v>
      </c>
      <c r="R22" s="7">
        <f>_xlfn.XLOOKUP(K22, recipe_cost!$A:$A, recipe_cost!$B:$B, "")</f>
        <v>0.36</v>
      </c>
      <c r="S22" s="10">
        <f t="shared" si="4"/>
        <v>0.36</v>
      </c>
      <c r="T22" s="10">
        <f t="shared" si="5"/>
        <v>3.39</v>
      </c>
      <c r="U22" s="9">
        <f t="shared" si="6"/>
        <v>0.90400000000000003</v>
      </c>
    </row>
    <row r="23" spans="1:21" x14ac:dyDescent="0.3">
      <c r="A23" s="1">
        <v>22</v>
      </c>
      <c r="B23" s="1" t="s">
        <v>174</v>
      </c>
      <c r="C23" s="4">
        <v>45334.341805555552</v>
      </c>
      <c r="D23" s="5">
        <f t="shared" si="0"/>
        <v>45334</v>
      </c>
      <c r="E23" s="3">
        <f t="shared" si="1"/>
        <v>8</v>
      </c>
      <c r="F23" s="1" t="str" cm="1">
        <f t="array" ref="F23">_xlfn.IFS(
E23&lt;11,"Morning",
E23&lt;15,"Afternoon",
TRUE,"Evening"
)</f>
        <v>Morning</v>
      </c>
      <c r="G23" s="3" t="str">
        <f t="shared" si="2"/>
        <v>Mon</v>
      </c>
      <c r="H23" s="1" t="s">
        <v>175</v>
      </c>
      <c r="I23" s="1" t="s">
        <v>146</v>
      </c>
      <c r="J23" s="1" t="s">
        <v>104</v>
      </c>
      <c r="K23" s="1" t="str">
        <f>_xlfn.XLOOKUP($J23, items_clean!$A:$A, items_clean!$B:$B, "")</f>
        <v>HDR-LAT-LG</v>
      </c>
      <c r="L23" s="1" t="str">
        <f>_xlfn.XLOOKUP($J23, items_clean!$A:$A, items_clean!$C:$C, "")</f>
        <v>Latte</v>
      </c>
      <c r="M23" s="1" t="str">
        <f>_xlfn.XLOOKUP($J23, items_clean!$A:$A, items_clean!$D:$D, "")</f>
        <v>Hot Drinks</v>
      </c>
      <c r="N23" s="1" t="str">
        <f>_xlfn.XLOOKUP($J23, items_clean!$A:$A, items_clean!$E:$E, "")</f>
        <v>Large</v>
      </c>
      <c r="O23" s="3">
        <v>1</v>
      </c>
      <c r="P23" s="2">
        <f>_xlfn.XLOOKUP($J23, items_clean!$A:$A, items_clean!$F:$F, "")</f>
        <v>3.75</v>
      </c>
      <c r="Q23" s="2">
        <f t="shared" si="3"/>
        <v>3.75</v>
      </c>
      <c r="R23" s="7">
        <f>_xlfn.XLOOKUP(K23, recipe_cost!$A:$A, recipe_cost!$B:$B, "")</f>
        <v>0.33599999999999997</v>
      </c>
      <c r="S23" s="10">
        <f t="shared" si="4"/>
        <v>0.33599999999999997</v>
      </c>
      <c r="T23" s="10">
        <f t="shared" si="5"/>
        <v>3.4140000000000001</v>
      </c>
      <c r="U23" s="9">
        <f t="shared" si="6"/>
        <v>0.91039999999999999</v>
      </c>
    </row>
    <row r="24" spans="1:21" x14ac:dyDescent="0.3">
      <c r="A24" s="1">
        <v>23</v>
      </c>
      <c r="B24" s="1" t="s">
        <v>176</v>
      </c>
      <c r="C24" s="4">
        <v>45334.345381944448</v>
      </c>
      <c r="D24" s="5">
        <f t="shared" si="0"/>
        <v>45334</v>
      </c>
      <c r="E24" s="3">
        <f t="shared" si="1"/>
        <v>8</v>
      </c>
      <c r="F24" s="1" t="str" cm="1">
        <f t="array" ref="F24">_xlfn.IFS(
E24&lt;11,"Morning",
E24&lt;15,"Afternoon",
TRUE,"Evening"
)</f>
        <v>Morning</v>
      </c>
      <c r="G24" s="3" t="str">
        <f t="shared" si="2"/>
        <v>Mon</v>
      </c>
      <c r="H24" s="1" t="s">
        <v>177</v>
      </c>
      <c r="I24" s="1" t="s">
        <v>146</v>
      </c>
      <c r="J24" s="1" t="s">
        <v>100</v>
      </c>
      <c r="K24" s="1" t="str">
        <f>_xlfn.XLOOKUP($J24, items_clean!$A:$A, items_clean!$B:$B, "")</f>
        <v>HDR-CAP-LG</v>
      </c>
      <c r="L24" s="1" t="str">
        <f>_xlfn.XLOOKUP($J24, items_clean!$A:$A, items_clean!$C:$C, "")</f>
        <v>Cappuccino</v>
      </c>
      <c r="M24" s="1" t="str">
        <f>_xlfn.XLOOKUP($J24, items_clean!$A:$A, items_clean!$D:$D, "")</f>
        <v>Hot Drinks</v>
      </c>
      <c r="N24" s="1" t="str">
        <f>_xlfn.XLOOKUP($J24, items_clean!$A:$A, items_clean!$E:$E, "")</f>
        <v>Large</v>
      </c>
      <c r="O24" s="3">
        <v>1</v>
      </c>
      <c r="P24" s="2">
        <f>_xlfn.XLOOKUP($J24, items_clean!$A:$A, items_clean!$F:$F, "")</f>
        <v>3.75</v>
      </c>
      <c r="Q24" s="2">
        <f t="shared" si="3"/>
        <v>3.75</v>
      </c>
      <c r="R24" s="7">
        <f>_xlfn.XLOOKUP(K24, recipe_cost!$A:$A, recipe_cost!$B:$B, "")</f>
        <v>0.33599999999999997</v>
      </c>
      <c r="S24" s="10">
        <f t="shared" si="4"/>
        <v>0.33599999999999997</v>
      </c>
      <c r="T24" s="10">
        <f t="shared" si="5"/>
        <v>3.4140000000000001</v>
      </c>
      <c r="U24" s="9">
        <f t="shared" si="6"/>
        <v>0.91039999999999999</v>
      </c>
    </row>
    <row r="25" spans="1:21" x14ac:dyDescent="0.3">
      <c r="A25" s="1">
        <v>24</v>
      </c>
      <c r="B25" s="1" t="s">
        <v>178</v>
      </c>
      <c r="C25" s="4">
        <v>45334.349004629628</v>
      </c>
      <c r="D25" s="5">
        <f t="shared" si="0"/>
        <v>45334</v>
      </c>
      <c r="E25" s="3">
        <f t="shared" si="1"/>
        <v>8</v>
      </c>
      <c r="F25" s="1" t="str" cm="1">
        <f t="array" ref="F25">_xlfn.IFS(
E25&lt;11,"Morning",
E25&lt;15,"Afternoon",
TRUE,"Evening"
)</f>
        <v>Morning</v>
      </c>
      <c r="G25" s="3" t="str">
        <f t="shared" si="2"/>
        <v>Mon</v>
      </c>
      <c r="H25" s="1" t="s">
        <v>179</v>
      </c>
      <c r="I25" s="1" t="s">
        <v>149</v>
      </c>
      <c r="J25" s="1" t="s">
        <v>96</v>
      </c>
      <c r="K25" s="1" t="str">
        <f>_xlfn.XLOOKUP($J25, items_clean!$A:$A, items_clean!$B:$B, "")</f>
        <v>HDR-CAP-MD</v>
      </c>
      <c r="L25" s="1" t="str">
        <f>_xlfn.XLOOKUP($J25, items_clean!$A:$A, items_clean!$C:$C, "")</f>
        <v>Cappuccino</v>
      </c>
      <c r="M25" s="1" t="str">
        <f>_xlfn.XLOOKUP($J25, items_clean!$A:$A, items_clean!$D:$D, "")</f>
        <v>Hot Drinks</v>
      </c>
      <c r="N25" s="1" t="str">
        <f>_xlfn.XLOOKUP($J25, items_clean!$A:$A, items_clean!$E:$E, "")</f>
        <v>Medium</v>
      </c>
      <c r="O25" s="3">
        <v>1</v>
      </c>
      <c r="P25" s="2">
        <f>_xlfn.XLOOKUP($J25, items_clean!$A:$A, items_clean!$F:$F, "")</f>
        <v>3.45</v>
      </c>
      <c r="Q25" s="2">
        <f t="shared" si="3"/>
        <v>3.45</v>
      </c>
      <c r="R25" s="7">
        <f>_xlfn.XLOOKUP(K25, recipe_cost!$A:$A, recipe_cost!$B:$B, "")</f>
        <v>0.252</v>
      </c>
      <c r="S25" s="10">
        <f t="shared" si="4"/>
        <v>0.252</v>
      </c>
      <c r="T25" s="10">
        <f t="shared" si="5"/>
        <v>3.1980000000000004</v>
      </c>
      <c r="U25" s="9">
        <f t="shared" si="6"/>
        <v>0.92695652173913046</v>
      </c>
    </row>
    <row r="26" spans="1:21" x14ac:dyDescent="0.3">
      <c r="A26" s="1">
        <v>25</v>
      </c>
      <c r="B26" s="1" t="s">
        <v>180</v>
      </c>
      <c r="C26" s="4">
        <v>45334.351469907408</v>
      </c>
      <c r="D26" s="5">
        <f t="shared" si="0"/>
        <v>45334</v>
      </c>
      <c r="E26" s="3">
        <f t="shared" si="1"/>
        <v>8</v>
      </c>
      <c r="F26" s="1" t="str" cm="1">
        <f t="array" ref="F26">_xlfn.IFS(
E26&lt;11,"Morning",
E26&lt;15,"Afternoon",
TRUE,"Evening"
)</f>
        <v>Morning</v>
      </c>
      <c r="G26" s="3" t="str">
        <f t="shared" si="2"/>
        <v>Mon</v>
      </c>
      <c r="H26" s="1" t="s">
        <v>148</v>
      </c>
      <c r="I26" s="1" t="s">
        <v>146</v>
      </c>
      <c r="J26" s="1" t="s">
        <v>121</v>
      </c>
      <c r="K26" s="1" t="str">
        <f>_xlfn.XLOOKUP($J26, items_clean!$A:$A, items_clean!$B:$B, "")</f>
        <v>HDR-HCH-LG</v>
      </c>
      <c r="L26" s="1" t="str">
        <f>_xlfn.XLOOKUP($J26, items_clean!$A:$A, items_clean!$C:$C, "")</f>
        <v>Hot Chocolate</v>
      </c>
      <c r="M26" s="1" t="str">
        <f>_xlfn.XLOOKUP($J26, items_clean!$A:$A, items_clean!$D:$D, "")</f>
        <v>Hot Drinks</v>
      </c>
      <c r="N26" s="1" t="str">
        <f>_xlfn.XLOOKUP($J26, items_clean!$A:$A, items_clean!$E:$E, "")</f>
        <v>Large</v>
      </c>
      <c r="O26" s="3">
        <v>1</v>
      </c>
      <c r="P26" s="2">
        <f>_xlfn.XLOOKUP($J26, items_clean!$A:$A, items_clean!$F:$F, "")</f>
        <v>4.5999999999999996</v>
      </c>
      <c r="Q26" s="2">
        <f t="shared" si="3"/>
        <v>4.5999999999999996</v>
      </c>
      <c r="R26" s="7">
        <f>_xlfn.XLOOKUP(K26, recipe_cost!$A:$A, recipe_cost!$B:$B, "")</f>
        <v>1.4809999999999999</v>
      </c>
      <c r="S26" s="10">
        <f t="shared" si="4"/>
        <v>1.4809999999999999</v>
      </c>
      <c r="T26" s="10">
        <f t="shared" si="5"/>
        <v>3.1189999999999998</v>
      </c>
      <c r="U26" s="9">
        <f t="shared" si="6"/>
        <v>0.67804347826086953</v>
      </c>
    </row>
    <row r="27" spans="1:21" x14ac:dyDescent="0.3">
      <c r="A27" s="1">
        <v>26</v>
      </c>
      <c r="B27" s="1" t="s">
        <v>181</v>
      </c>
      <c r="C27" s="4">
        <v>45334.355381944442</v>
      </c>
      <c r="D27" s="5">
        <f t="shared" si="0"/>
        <v>45334</v>
      </c>
      <c r="E27" s="3">
        <f t="shared" si="1"/>
        <v>8</v>
      </c>
      <c r="F27" s="1" t="str" cm="1">
        <f t="array" ref="F27">_xlfn.IFS(
E27&lt;11,"Morning",
E27&lt;15,"Afternoon",
TRUE,"Evening"
)</f>
        <v>Morning</v>
      </c>
      <c r="G27" s="3" t="str">
        <f t="shared" si="2"/>
        <v>Mon</v>
      </c>
      <c r="H27" s="1" t="s">
        <v>182</v>
      </c>
      <c r="I27" s="1" t="s">
        <v>149</v>
      </c>
      <c r="J27" s="1" t="s">
        <v>116</v>
      </c>
      <c r="K27" s="1" t="str">
        <f>_xlfn.XLOOKUP($J27, items_clean!$A:$A, items_clean!$B:$B, "")</f>
        <v>HDR-WMO-MD</v>
      </c>
      <c r="L27" s="1" t="str">
        <f>_xlfn.XLOOKUP($J27, items_clean!$A:$A, items_clean!$C:$C, "")</f>
        <v>White Mocha</v>
      </c>
      <c r="M27" s="1" t="str">
        <f>_xlfn.XLOOKUP($J27, items_clean!$A:$A, items_clean!$D:$D, "")</f>
        <v>Hot Drinks</v>
      </c>
      <c r="N27" s="1" t="str">
        <f>_xlfn.XLOOKUP($J27, items_clean!$A:$A, items_clean!$E:$E, "")</f>
        <v>Medium</v>
      </c>
      <c r="O27" s="3">
        <v>1</v>
      </c>
      <c r="P27" s="2">
        <f>_xlfn.XLOOKUP($J27, items_clean!$A:$A, items_clean!$F:$F, "")</f>
        <v>4.5</v>
      </c>
      <c r="Q27" s="2">
        <f t="shared" si="3"/>
        <v>4.5</v>
      </c>
      <c r="R27" s="7">
        <f>_xlfn.XLOOKUP(K27, recipe_cost!$A:$A, recipe_cost!$B:$B, "")</f>
        <v>0.4098</v>
      </c>
      <c r="S27" s="10">
        <f t="shared" si="4"/>
        <v>0.4098</v>
      </c>
      <c r="T27" s="10">
        <f t="shared" si="5"/>
        <v>4.0902000000000003</v>
      </c>
      <c r="U27" s="9">
        <f t="shared" si="6"/>
        <v>0.90893333333333337</v>
      </c>
    </row>
    <row r="28" spans="1:21" x14ac:dyDescent="0.3">
      <c r="A28" s="1">
        <v>27</v>
      </c>
      <c r="B28" s="1" t="s">
        <v>183</v>
      </c>
      <c r="C28" s="4">
        <v>45334.359016203707</v>
      </c>
      <c r="D28" s="5">
        <f t="shared" si="0"/>
        <v>45334</v>
      </c>
      <c r="E28" s="3">
        <f t="shared" si="1"/>
        <v>8</v>
      </c>
      <c r="F28" s="1" t="str" cm="1">
        <f t="array" ref="F28">_xlfn.IFS(
E28&lt;11,"Morning",
E28&lt;15,"Afternoon",
TRUE,"Evening"
)</f>
        <v>Morning</v>
      </c>
      <c r="G28" s="3" t="str">
        <f t="shared" si="2"/>
        <v>Mon</v>
      </c>
      <c r="H28" s="1" t="s">
        <v>184</v>
      </c>
      <c r="I28" s="1" t="s">
        <v>146</v>
      </c>
      <c r="J28" s="1" t="s">
        <v>126</v>
      </c>
      <c r="K28" s="1" t="str">
        <f>_xlfn.XLOOKUP($J28, items_clean!$A:$A, items_clean!$B:$B, "")</f>
        <v>CDR-CMO-MD</v>
      </c>
      <c r="L28" s="1" t="str">
        <f>_xlfn.XLOOKUP($J28, items_clean!$A:$A, items_clean!$C:$C, "")</f>
        <v>Cold Mocha</v>
      </c>
      <c r="M28" s="1" t="str">
        <f>_xlfn.XLOOKUP($J28, items_clean!$A:$A, items_clean!$D:$D, "")</f>
        <v>Cold Drinks</v>
      </c>
      <c r="N28" s="1" t="str">
        <f>_xlfn.XLOOKUP($J28, items_clean!$A:$A, items_clean!$E:$E, "")</f>
        <v>Medium</v>
      </c>
      <c r="O28" s="3">
        <v>1</v>
      </c>
      <c r="P28" s="2">
        <f>_xlfn.XLOOKUP($J28, items_clean!$A:$A, items_clean!$F:$F, "")</f>
        <v>4</v>
      </c>
      <c r="Q28" s="2">
        <f t="shared" si="3"/>
        <v>4</v>
      </c>
      <c r="R28" s="7">
        <f>_xlfn.XLOOKUP(K28, recipe_cost!$A:$A, recipe_cost!$B:$B, "")</f>
        <v>0.4098</v>
      </c>
      <c r="S28" s="10">
        <f t="shared" si="4"/>
        <v>0.4098</v>
      </c>
      <c r="T28" s="10">
        <f t="shared" si="5"/>
        <v>3.5901999999999998</v>
      </c>
      <c r="U28" s="9">
        <f t="shared" si="6"/>
        <v>0.89754999999999996</v>
      </c>
    </row>
    <row r="29" spans="1:21" x14ac:dyDescent="0.3">
      <c r="A29" s="1">
        <v>28</v>
      </c>
      <c r="B29" s="1" t="s">
        <v>183</v>
      </c>
      <c r="C29" s="4">
        <v>45334.359016203707</v>
      </c>
      <c r="D29" s="5">
        <f t="shared" si="0"/>
        <v>45334</v>
      </c>
      <c r="E29" s="3">
        <f t="shared" si="1"/>
        <v>8</v>
      </c>
      <c r="F29" s="1" t="str" cm="1">
        <f t="array" ref="F29">_xlfn.IFS(
E29&lt;11,"Morning",
E29&lt;15,"Afternoon",
TRUE,"Evening"
)</f>
        <v>Morning</v>
      </c>
      <c r="G29" s="3" t="str">
        <f t="shared" si="2"/>
        <v>Mon</v>
      </c>
      <c r="H29" s="1" t="s">
        <v>184</v>
      </c>
      <c r="I29" s="1" t="s">
        <v>778</v>
      </c>
      <c r="J29" s="1" t="s">
        <v>131</v>
      </c>
      <c r="K29" s="1" t="str">
        <f>_xlfn.XLOOKUP($J29, items_clean!$A:$A, items_clean!$B:$B, "")</f>
        <v>CDR-ICT-LG</v>
      </c>
      <c r="L29" s="1" t="str">
        <f>_xlfn.XLOOKUP($J29, items_clean!$A:$A, items_clean!$C:$C, "")</f>
        <v>Iced Tea</v>
      </c>
      <c r="M29" s="1" t="str">
        <f>_xlfn.XLOOKUP($J29, items_clean!$A:$A, items_clean!$D:$D, "")</f>
        <v>Cold Drinks</v>
      </c>
      <c r="N29" s="1" t="str">
        <f>_xlfn.XLOOKUP($J29, items_clean!$A:$A, items_clean!$E:$E, "")</f>
        <v>Large</v>
      </c>
      <c r="O29" s="3">
        <v>1</v>
      </c>
      <c r="P29" s="2">
        <f>_xlfn.XLOOKUP($J29, items_clean!$A:$A, items_clean!$F:$F, "")</f>
        <v>3.55</v>
      </c>
      <c r="Q29" s="2">
        <f t="shared" si="3"/>
        <v>3.55</v>
      </c>
      <c r="R29" s="7">
        <f>_xlfn.XLOOKUP(K29, recipe_cost!$A:$A, recipe_cost!$B:$B, "")</f>
        <v>0.26984999999999998</v>
      </c>
      <c r="S29" s="10">
        <f t="shared" si="4"/>
        <v>0.26984999999999998</v>
      </c>
      <c r="T29" s="10">
        <f t="shared" si="5"/>
        <v>3.2801499999999999</v>
      </c>
      <c r="U29" s="9">
        <f t="shared" si="6"/>
        <v>0.92398591549295772</v>
      </c>
    </row>
    <row r="30" spans="1:21" x14ac:dyDescent="0.3">
      <c r="A30" s="1">
        <v>29</v>
      </c>
      <c r="B30" s="1" t="s">
        <v>185</v>
      </c>
      <c r="C30" s="4">
        <v>45334.362245370372</v>
      </c>
      <c r="D30" s="5">
        <f t="shared" si="0"/>
        <v>45334</v>
      </c>
      <c r="E30" s="3">
        <f t="shared" si="1"/>
        <v>8</v>
      </c>
      <c r="F30" s="1" t="str" cm="1">
        <f t="array" ref="F30">_xlfn.IFS(
E30&lt;11,"Morning",
E30&lt;15,"Afternoon",
TRUE,"Evening"
)</f>
        <v>Morning</v>
      </c>
      <c r="G30" s="3" t="str">
        <f t="shared" si="2"/>
        <v>Mon</v>
      </c>
      <c r="H30" s="1" t="s">
        <v>157</v>
      </c>
      <c r="I30" s="1" t="s">
        <v>146</v>
      </c>
      <c r="J30" s="1" t="s">
        <v>105</v>
      </c>
      <c r="K30" s="1" t="str">
        <f>_xlfn.XLOOKUP($J30, items_clean!$A:$A, items_clean!$B:$B, "")</f>
        <v>HDR-FLT</v>
      </c>
      <c r="L30" s="1" t="str">
        <f>_xlfn.XLOOKUP($J30, items_clean!$A:$A, items_clean!$C:$C, "")</f>
        <v>Flat White</v>
      </c>
      <c r="M30" s="1" t="str">
        <f>_xlfn.XLOOKUP($J30, items_clean!$A:$A, items_clean!$D:$D, "")</f>
        <v>Hot Drinks</v>
      </c>
      <c r="N30" s="1" t="str">
        <f>_xlfn.XLOOKUP($J30, items_clean!$A:$A, items_clean!$E:$E, "")</f>
        <v>N/A</v>
      </c>
      <c r="O30" s="3">
        <v>1</v>
      </c>
      <c r="P30" s="2">
        <f>_xlfn.XLOOKUP($J30, items_clean!$A:$A, items_clean!$F:$F, "")</f>
        <v>3.15</v>
      </c>
      <c r="Q30" s="2">
        <f t="shared" si="3"/>
        <v>3.15</v>
      </c>
      <c r="R30" s="7">
        <f>_xlfn.XLOOKUP(K30, recipe_cost!$A:$A, recipe_cost!$B:$B, "")</f>
        <v>0.28799999999999998</v>
      </c>
      <c r="S30" s="10">
        <f t="shared" si="4"/>
        <v>0.28799999999999998</v>
      </c>
      <c r="T30" s="10">
        <f t="shared" si="5"/>
        <v>2.8620000000000001</v>
      </c>
      <c r="U30" s="9">
        <f t="shared" si="6"/>
        <v>0.90857142857142859</v>
      </c>
    </row>
    <row r="31" spans="1:21" x14ac:dyDescent="0.3">
      <c r="A31" s="1">
        <v>30</v>
      </c>
      <c r="B31" s="1" t="s">
        <v>186</v>
      </c>
      <c r="C31" s="4">
        <v>45334.364606481482</v>
      </c>
      <c r="D31" s="5">
        <f t="shared" si="0"/>
        <v>45334</v>
      </c>
      <c r="E31" s="3">
        <f t="shared" si="1"/>
        <v>8</v>
      </c>
      <c r="F31" s="1" t="str" cm="1">
        <f t="array" ref="F31">_xlfn.IFS(
E31&lt;11,"Morning",
E31&lt;15,"Afternoon",
TRUE,"Evening"
)</f>
        <v>Morning</v>
      </c>
      <c r="G31" s="3" t="str">
        <f t="shared" si="2"/>
        <v>Mon</v>
      </c>
      <c r="H31" s="1" t="s">
        <v>187</v>
      </c>
      <c r="I31" s="1" t="s">
        <v>149</v>
      </c>
      <c r="J31" s="1" t="s">
        <v>108</v>
      </c>
      <c r="K31" s="1" t="str">
        <f>_xlfn.XLOOKUP($J31, items_clean!$A:$A, items_clean!$B:$B, "")</f>
        <v>HDR-CRM-MD</v>
      </c>
      <c r="L31" s="1" t="str">
        <f>_xlfn.XLOOKUP($J31, items_clean!$A:$A, items_clean!$C:$C, "")</f>
        <v>Caramel Macchiato</v>
      </c>
      <c r="M31" s="1" t="str">
        <f>_xlfn.XLOOKUP($J31, items_clean!$A:$A, items_clean!$D:$D, "")</f>
        <v>Hot Drinks</v>
      </c>
      <c r="N31" s="1" t="str">
        <f>_xlfn.XLOOKUP($J31, items_clean!$A:$A, items_clean!$E:$E, "")</f>
        <v>Medium</v>
      </c>
      <c r="O31" s="3">
        <v>1</v>
      </c>
      <c r="P31" s="2">
        <f>_xlfn.XLOOKUP($J31, items_clean!$A:$A, items_clean!$F:$F, "")</f>
        <v>4.2</v>
      </c>
      <c r="Q31" s="2">
        <f t="shared" si="3"/>
        <v>4.2</v>
      </c>
      <c r="R31" s="7">
        <f>_xlfn.XLOOKUP(K31, recipe_cost!$A:$A, recipe_cost!$B:$B, "")</f>
        <v>0.4098</v>
      </c>
      <c r="S31" s="10">
        <f t="shared" si="4"/>
        <v>0.4098</v>
      </c>
      <c r="T31" s="10">
        <f t="shared" si="5"/>
        <v>3.7902</v>
      </c>
      <c r="U31" s="9">
        <f t="shared" si="6"/>
        <v>0.90242857142857136</v>
      </c>
    </row>
    <row r="32" spans="1:21" x14ac:dyDescent="0.3">
      <c r="A32" s="1">
        <v>31</v>
      </c>
      <c r="B32" s="1" t="s">
        <v>186</v>
      </c>
      <c r="C32" s="4">
        <v>45334.364861111113</v>
      </c>
      <c r="D32" s="5">
        <f t="shared" si="0"/>
        <v>45334</v>
      </c>
      <c r="E32" s="3">
        <f t="shared" si="1"/>
        <v>8</v>
      </c>
      <c r="F32" s="1" t="str" cm="1">
        <f t="array" ref="F32">_xlfn.IFS(
E32&lt;11,"Morning",
E32&lt;15,"Afternoon",
TRUE,"Evening"
)</f>
        <v>Morning</v>
      </c>
      <c r="G32" s="3" t="str">
        <f t="shared" si="2"/>
        <v>Mon</v>
      </c>
      <c r="H32" s="1" t="s">
        <v>165</v>
      </c>
      <c r="I32" s="1" t="s">
        <v>778</v>
      </c>
      <c r="J32" s="1" t="s">
        <v>121</v>
      </c>
      <c r="K32" s="1" t="str">
        <f>_xlfn.XLOOKUP($J32, items_clean!$A:$A, items_clean!$B:$B, "")</f>
        <v>HDR-HCH-LG</v>
      </c>
      <c r="L32" s="1" t="str">
        <f>_xlfn.XLOOKUP($J32, items_clean!$A:$A, items_clean!$C:$C, "")</f>
        <v>Hot Chocolate</v>
      </c>
      <c r="M32" s="1" t="str">
        <f>_xlfn.XLOOKUP($J32, items_clean!$A:$A, items_clean!$D:$D, "")</f>
        <v>Hot Drinks</v>
      </c>
      <c r="N32" s="1" t="str">
        <f>_xlfn.XLOOKUP($J32, items_clean!$A:$A, items_clean!$E:$E, "")</f>
        <v>Large</v>
      </c>
      <c r="O32" s="3">
        <v>1</v>
      </c>
      <c r="P32" s="2">
        <f>_xlfn.XLOOKUP($J32, items_clean!$A:$A, items_clean!$F:$F, "")</f>
        <v>4.5999999999999996</v>
      </c>
      <c r="Q32" s="2">
        <f t="shared" si="3"/>
        <v>4.5999999999999996</v>
      </c>
      <c r="R32" s="7">
        <f>_xlfn.XLOOKUP(K32, recipe_cost!$A:$A, recipe_cost!$B:$B, "")</f>
        <v>1.4809999999999999</v>
      </c>
      <c r="S32" s="10">
        <f t="shared" si="4"/>
        <v>1.4809999999999999</v>
      </c>
      <c r="T32" s="10">
        <f t="shared" si="5"/>
        <v>3.1189999999999998</v>
      </c>
      <c r="U32" s="9">
        <f t="shared" si="6"/>
        <v>0.67804347826086953</v>
      </c>
    </row>
    <row r="33" spans="1:21" x14ac:dyDescent="0.3">
      <c r="A33" s="1">
        <v>32</v>
      </c>
      <c r="B33" s="1" t="s">
        <v>188</v>
      </c>
      <c r="C33" s="4">
        <v>45334.36818287037</v>
      </c>
      <c r="D33" s="5">
        <f t="shared" si="0"/>
        <v>45334</v>
      </c>
      <c r="E33" s="3">
        <f t="shared" si="1"/>
        <v>8</v>
      </c>
      <c r="F33" s="1" t="str" cm="1">
        <f t="array" ref="F33">_xlfn.IFS(
E33&lt;11,"Morning",
E33&lt;15,"Afternoon",
TRUE,"Evening"
)</f>
        <v>Morning</v>
      </c>
      <c r="G33" s="3" t="str">
        <f t="shared" si="2"/>
        <v>Mon</v>
      </c>
      <c r="H33" s="1" t="s">
        <v>145</v>
      </c>
      <c r="I33" s="1" t="s">
        <v>146</v>
      </c>
      <c r="J33" s="1" t="s">
        <v>111</v>
      </c>
      <c r="K33" s="1" t="str">
        <f>_xlfn.XLOOKUP($J33, items_clean!$A:$A, items_clean!$B:$B, "")</f>
        <v>HDR-ESP</v>
      </c>
      <c r="L33" s="1" t="str">
        <f>_xlfn.XLOOKUP($J33, items_clean!$A:$A, items_clean!$C:$C, "")</f>
        <v>Espresso</v>
      </c>
      <c r="M33" s="1" t="str">
        <f>_xlfn.XLOOKUP($J33, items_clean!$A:$A, items_clean!$D:$D, "")</f>
        <v>Hot Drinks</v>
      </c>
      <c r="N33" s="1" t="str">
        <f>_xlfn.XLOOKUP($J33, items_clean!$A:$A, items_clean!$E:$E, "")</f>
        <v>N/A</v>
      </c>
      <c r="O33" s="3">
        <v>1</v>
      </c>
      <c r="P33" s="2">
        <f>_xlfn.XLOOKUP($J33, items_clean!$A:$A, items_clean!$F:$F, "")</f>
        <v>2.15</v>
      </c>
      <c r="Q33" s="2">
        <f t="shared" si="3"/>
        <v>2.15</v>
      </c>
      <c r="R33" s="7">
        <f>_xlfn.XLOOKUP(K33, recipe_cost!$A:$A, recipe_cost!$B:$B, "")</f>
        <v>9.6000000000000002E-2</v>
      </c>
      <c r="S33" s="10">
        <f t="shared" si="4"/>
        <v>9.6000000000000002E-2</v>
      </c>
      <c r="T33" s="10">
        <f t="shared" si="5"/>
        <v>2.0539999999999998</v>
      </c>
      <c r="U33" s="9">
        <f t="shared" si="6"/>
        <v>0.9553488372093023</v>
      </c>
    </row>
    <row r="34" spans="1:21" x14ac:dyDescent="0.3">
      <c r="A34" s="1">
        <v>33</v>
      </c>
      <c r="B34" s="1" t="s">
        <v>189</v>
      </c>
      <c r="C34" s="4">
        <v>45334.372141203705</v>
      </c>
      <c r="D34" s="5">
        <f t="shared" si="0"/>
        <v>45334</v>
      </c>
      <c r="E34" s="3">
        <f t="shared" si="1"/>
        <v>8</v>
      </c>
      <c r="F34" s="1" t="str" cm="1">
        <f t="array" ref="F34">_xlfn.IFS(
E34&lt;11,"Morning",
E34&lt;15,"Afternoon",
TRUE,"Evening"
)</f>
        <v>Morning</v>
      </c>
      <c r="G34" s="3" t="str">
        <f t="shared" si="2"/>
        <v>Mon</v>
      </c>
      <c r="H34" s="1" t="s">
        <v>148</v>
      </c>
      <c r="I34" s="1" t="s">
        <v>146</v>
      </c>
      <c r="J34" s="1" t="s">
        <v>125</v>
      </c>
      <c r="K34" s="1" t="str">
        <f>_xlfn.XLOOKUP($J34, items_clean!$A:$A, items_clean!$B:$B, "")</f>
        <v>CDR-CCF-LG</v>
      </c>
      <c r="L34" s="1" t="str">
        <f>_xlfn.XLOOKUP($J34, items_clean!$A:$A, items_clean!$C:$C, "")</f>
        <v>Cold Coffee</v>
      </c>
      <c r="M34" s="1" t="str">
        <f>_xlfn.XLOOKUP($J34, items_clean!$A:$A, items_clean!$D:$D, "")</f>
        <v>Cold Drinks</v>
      </c>
      <c r="N34" s="1" t="str">
        <f>_xlfn.XLOOKUP($J34, items_clean!$A:$A, items_clean!$E:$E, "")</f>
        <v>Large</v>
      </c>
      <c r="O34" s="3">
        <v>1</v>
      </c>
      <c r="P34" s="2">
        <f>_xlfn.XLOOKUP($J34, items_clean!$A:$A, items_clean!$F:$F, "")</f>
        <v>3.75</v>
      </c>
      <c r="Q34" s="2">
        <f t="shared" si="3"/>
        <v>3.75</v>
      </c>
      <c r="R34" s="7">
        <f>_xlfn.XLOOKUP(K34, recipe_cost!$A:$A, recipe_cost!$B:$B, "")</f>
        <v>0.33599999999999997</v>
      </c>
      <c r="S34" s="10">
        <f t="shared" si="4"/>
        <v>0.33599999999999997</v>
      </c>
      <c r="T34" s="10">
        <f t="shared" si="5"/>
        <v>3.4140000000000001</v>
      </c>
      <c r="U34" s="9">
        <f t="shared" si="6"/>
        <v>0.91039999999999999</v>
      </c>
    </row>
    <row r="35" spans="1:21" x14ac:dyDescent="0.3">
      <c r="A35" s="1">
        <v>34</v>
      </c>
      <c r="B35" s="1" t="s">
        <v>190</v>
      </c>
      <c r="C35" s="4">
        <v>45334.375532407408</v>
      </c>
      <c r="D35" s="5">
        <f t="shared" si="0"/>
        <v>45334</v>
      </c>
      <c r="E35" s="3">
        <f t="shared" si="1"/>
        <v>9</v>
      </c>
      <c r="F35" s="1" t="str" cm="1">
        <f t="array" ref="F35">_xlfn.IFS(
E35&lt;11,"Morning",
E35&lt;15,"Afternoon",
TRUE,"Evening"
)</f>
        <v>Morning</v>
      </c>
      <c r="G35" s="3" t="str">
        <f t="shared" si="2"/>
        <v>Mon</v>
      </c>
      <c r="H35" s="1" t="s">
        <v>151</v>
      </c>
      <c r="I35" s="1" t="s">
        <v>146</v>
      </c>
      <c r="J35" s="1" t="s">
        <v>108</v>
      </c>
      <c r="K35" s="1" t="str">
        <f>_xlfn.XLOOKUP($J35, items_clean!$A:$A, items_clean!$B:$B, "")</f>
        <v>HDR-CRM-MD</v>
      </c>
      <c r="L35" s="1" t="str">
        <f>_xlfn.XLOOKUP($J35, items_clean!$A:$A, items_clean!$C:$C, "")</f>
        <v>Caramel Macchiato</v>
      </c>
      <c r="M35" s="1" t="str">
        <f>_xlfn.XLOOKUP($J35, items_clean!$A:$A, items_clean!$D:$D, "")</f>
        <v>Hot Drinks</v>
      </c>
      <c r="N35" s="1" t="str">
        <f>_xlfn.XLOOKUP($J35, items_clean!$A:$A, items_clean!$E:$E, "")</f>
        <v>Medium</v>
      </c>
      <c r="O35" s="3">
        <v>1</v>
      </c>
      <c r="P35" s="2">
        <f>_xlfn.XLOOKUP($J35, items_clean!$A:$A, items_clean!$F:$F, "")</f>
        <v>4.2</v>
      </c>
      <c r="Q35" s="2">
        <f t="shared" si="3"/>
        <v>4.2</v>
      </c>
      <c r="R35" s="7">
        <f>_xlfn.XLOOKUP(K35, recipe_cost!$A:$A, recipe_cost!$B:$B, "")</f>
        <v>0.4098</v>
      </c>
      <c r="S35" s="10">
        <f t="shared" si="4"/>
        <v>0.4098</v>
      </c>
      <c r="T35" s="10">
        <f t="shared" si="5"/>
        <v>3.7902</v>
      </c>
      <c r="U35" s="9">
        <f t="shared" si="6"/>
        <v>0.90242857142857136</v>
      </c>
    </row>
    <row r="36" spans="1:21" x14ac:dyDescent="0.3">
      <c r="A36" s="1">
        <v>35</v>
      </c>
      <c r="B36" s="1" t="s">
        <v>191</v>
      </c>
      <c r="C36" s="4">
        <v>45334.378067129626</v>
      </c>
      <c r="D36" s="5">
        <f t="shared" si="0"/>
        <v>45334</v>
      </c>
      <c r="E36" s="3">
        <f t="shared" si="1"/>
        <v>9</v>
      </c>
      <c r="F36" s="1" t="str" cm="1">
        <f t="array" ref="F36">_xlfn.IFS(
E36&lt;11,"Morning",
E36&lt;15,"Afternoon",
TRUE,"Evening"
)</f>
        <v>Morning</v>
      </c>
      <c r="G36" s="3" t="str">
        <f t="shared" si="2"/>
        <v>Mon</v>
      </c>
      <c r="H36" s="1" t="s">
        <v>153</v>
      </c>
      <c r="I36" s="1" t="s">
        <v>149</v>
      </c>
      <c r="J36" s="1" t="s">
        <v>129</v>
      </c>
      <c r="K36" s="1" t="str">
        <f>_xlfn.XLOOKUP($J36, items_clean!$A:$A, items_clean!$B:$B, "")</f>
        <v>CDR-ICT-MD</v>
      </c>
      <c r="L36" s="1" t="str">
        <f>_xlfn.XLOOKUP($J36, items_clean!$A:$A, items_clean!$C:$C, "")</f>
        <v>Iced Tea</v>
      </c>
      <c r="M36" s="1" t="str">
        <f>_xlfn.XLOOKUP($J36, items_clean!$A:$A, items_clean!$D:$D, "")</f>
        <v>Cold Drinks</v>
      </c>
      <c r="N36" s="1" t="str">
        <f>_xlfn.XLOOKUP($J36, items_clean!$A:$A, items_clean!$E:$E, "")</f>
        <v>Medium</v>
      </c>
      <c r="O36" s="3">
        <v>1</v>
      </c>
      <c r="P36" s="2">
        <f>_xlfn.XLOOKUP($J36, items_clean!$A:$A, items_clean!$F:$F, "")</f>
        <v>3.25</v>
      </c>
      <c r="Q36" s="2">
        <f t="shared" si="3"/>
        <v>3.25</v>
      </c>
      <c r="R36" s="7">
        <f>_xlfn.XLOOKUP(K36, recipe_cost!$A:$A, recipe_cost!$B:$B, "")</f>
        <v>0.19</v>
      </c>
      <c r="S36" s="10">
        <f t="shared" si="4"/>
        <v>0.19</v>
      </c>
      <c r="T36" s="10">
        <f t="shared" si="5"/>
        <v>3.06</v>
      </c>
      <c r="U36" s="9">
        <f t="shared" si="6"/>
        <v>0.94153846153846155</v>
      </c>
    </row>
    <row r="37" spans="1:21" x14ac:dyDescent="0.3">
      <c r="A37" s="1">
        <v>36</v>
      </c>
      <c r="B37" s="1" t="s">
        <v>192</v>
      </c>
      <c r="C37" s="4">
        <v>45334.381793981483</v>
      </c>
      <c r="D37" s="5">
        <f t="shared" si="0"/>
        <v>45334</v>
      </c>
      <c r="E37" s="3">
        <f t="shared" si="1"/>
        <v>9</v>
      </c>
      <c r="F37" s="1" t="str" cm="1">
        <f t="array" ref="F37">_xlfn.IFS(
E37&lt;11,"Morning",
E37&lt;15,"Afternoon",
TRUE,"Evening"
)</f>
        <v>Morning</v>
      </c>
      <c r="G37" s="3" t="str">
        <f t="shared" si="2"/>
        <v>Mon</v>
      </c>
      <c r="H37" s="1" t="s">
        <v>155</v>
      </c>
      <c r="I37" s="1" t="s">
        <v>146</v>
      </c>
      <c r="J37" s="1" t="s">
        <v>113</v>
      </c>
      <c r="K37" s="1" t="str">
        <f>_xlfn.XLOOKUP($J37, items_clean!$A:$A, items_clean!$B:$B, "")</f>
        <v>HDR-MOC-MD</v>
      </c>
      <c r="L37" s="1" t="str">
        <f>_xlfn.XLOOKUP($J37, items_clean!$A:$A, items_clean!$C:$C, "")</f>
        <v>Mocha</v>
      </c>
      <c r="M37" s="1" t="str">
        <f>_xlfn.XLOOKUP($J37, items_clean!$A:$A, items_clean!$D:$D, "")</f>
        <v>Hot Drinks</v>
      </c>
      <c r="N37" s="1" t="str">
        <f>_xlfn.XLOOKUP($J37, items_clean!$A:$A, items_clean!$E:$E, "")</f>
        <v>Medium</v>
      </c>
      <c r="O37" s="3">
        <v>1</v>
      </c>
      <c r="P37" s="2">
        <f>_xlfn.XLOOKUP($J37, items_clean!$A:$A, items_clean!$F:$F, "")</f>
        <v>4</v>
      </c>
      <c r="Q37" s="2">
        <f t="shared" si="3"/>
        <v>4</v>
      </c>
      <c r="R37" s="7">
        <f>_xlfn.XLOOKUP(K37, recipe_cost!$A:$A, recipe_cost!$B:$B, "")</f>
        <v>0.4098</v>
      </c>
      <c r="S37" s="10">
        <f t="shared" si="4"/>
        <v>0.4098</v>
      </c>
      <c r="T37" s="10">
        <f t="shared" si="5"/>
        <v>3.5901999999999998</v>
      </c>
      <c r="U37" s="9">
        <f t="shared" si="6"/>
        <v>0.89754999999999996</v>
      </c>
    </row>
    <row r="38" spans="1:21" x14ac:dyDescent="0.3">
      <c r="A38" s="1">
        <v>37</v>
      </c>
      <c r="B38" s="1" t="s">
        <v>193</v>
      </c>
      <c r="C38" s="4">
        <v>45334.385092592594</v>
      </c>
      <c r="D38" s="5">
        <f t="shared" si="0"/>
        <v>45334</v>
      </c>
      <c r="E38" s="3">
        <f t="shared" si="1"/>
        <v>9</v>
      </c>
      <c r="F38" s="1" t="str" cm="1">
        <f t="array" ref="F38">_xlfn.IFS(
E38&lt;11,"Morning",
E38&lt;15,"Afternoon",
TRUE,"Evening"
)</f>
        <v>Morning</v>
      </c>
      <c r="G38" s="3" t="str">
        <f t="shared" si="2"/>
        <v>Mon</v>
      </c>
      <c r="H38" s="1" t="s">
        <v>157</v>
      </c>
      <c r="I38" s="1" t="s">
        <v>149</v>
      </c>
      <c r="J38" s="1" t="s">
        <v>96</v>
      </c>
      <c r="K38" s="1" t="str">
        <f>_xlfn.XLOOKUP($J38, items_clean!$A:$A, items_clean!$B:$B, "")</f>
        <v>HDR-CAP-MD</v>
      </c>
      <c r="L38" s="1" t="str">
        <f>_xlfn.XLOOKUP($J38, items_clean!$A:$A, items_clean!$C:$C, "")</f>
        <v>Cappuccino</v>
      </c>
      <c r="M38" s="1" t="str">
        <f>_xlfn.XLOOKUP($J38, items_clean!$A:$A, items_clean!$D:$D, "")</f>
        <v>Hot Drinks</v>
      </c>
      <c r="N38" s="1" t="str">
        <f>_xlfn.XLOOKUP($J38, items_clean!$A:$A, items_clean!$E:$E, "")</f>
        <v>Medium</v>
      </c>
      <c r="O38" s="3">
        <v>1</v>
      </c>
      <c r="P38" s="2">
        <f>_xlfn.XLOOKUP($J38, items_clean!$A:$A, items_clean!$F:$F, "")</f>
        <v>3.45</v>
      </c>
      <c r="Q38" s="2">
        <f t="shared" si="3"/>
        <v>3.45</v>
      </c>
      <c r="R38" s="7">
        <f>_xlfn.XLOOKUP(K38, recipe_cost!$A:$A, recipe_cost!$B:$B, "")</f>
        <v>0.252</v>
      </c>
      <c r="S38" s="10">
        <f t="shared" si="4"/>
        <v>0.252</v>
      </c>
      <c r="T38" s="10">
        <f t="shared" si="5"/>
        <v>3.1980000000000004</v>
      </c>
      <c r="U38" s="9">
        <f t="shared" si="6"/>
        <v>0.92695652173913046</v>
      </c>
    </row>
    <row r="39" spans="1:21" x14ac:dyDescent="0.3">
      <c r="A39" s="1">
        <v>38</v>
      </c>
      <c r="B39" s="1" t="s">
        <v>193</v>
      </c>
      <c r="C39" s="4">
        <v>45334.385092592594</v>
      </c>
      <c r="D39" s="5">
        <f t="shared" si="0"/>
        <v>45334</v>
      </c>
      <c r="E39" s="3">
        <f t="shared" si="1"/>
        <v>9</v>
      </c>
      <c r="F39" s="1" t="str" cm="1">
        <f t="array" ref="F39">_xlfn.IFS(
E39&lt;11,"Morning",
E39&lt;15,"Afternoon",
TRUE,"Evening"
)</f>
        <v>Morning</v>
      </c>
      <c r="G39" s="3" t="str">
        <f t="shared" si="2"/>
        <v>Mon</v>
      </c>
      <c r="H39" s="1" t="s">
        <v>157</v>
      </c>
      <c r="I39" s="1" t="s">
        <v>778</v>
      </c>
      <c r="J39" s="1" t="s">
        <v>125</v>
      </c>
      <c r="K39" s="1" t="str">
        <f>_xlfn.XLOOKUP($J39, items_clean!$A:$A, items_clean!$B:$B, "")</f>
        <v>CDR-CCF-LG</v>
      </c>
      <c r="L39" s="1" t="str">
        <f>_xlfn.XLOOKUP($J39, items_clean!$A:$A, items_clean!$C:$C, "")</f>
        <v>Cold Coffee</v>
      </c>
      <c r="M39" s="1" t="str">
        <f>_xlfn.XLOOKUP($J39, items_clean!$A:$A, items_clean!$D:$D, "")</f>
        <v>Cold Drinks</v>
      </c>
      <c r="N39" s="1" t="str">
        <f>_xlfn.XLOOKUP($J39, items_clean!$A:$A, items_clean!$E:$E, "")</f>
        <v>Large</v>
      </c>
      <c r="O39" s="3">
        <v>1</v>
      </c>
      <c r="P39" s="2">
        <f>_xlfn.XLOOKUP($J39, items_clean!$A:$A, items_clean!$F:$F, "")</f>
        <v>3.75</v>
      </c>
      <c r="Q39" s="2">
        <f t="shared" si="3"/>
        <v>3.75</v>
      </c>
      <c r="R39" s="7">
        <f>_xlfn.XLOOKUP(K39, recipe_cost!$A:$A, recipe_cost!$B:$B, "")</f>
        <v>0.33599999999999997</v>
      </c>
      <c r="S39" s="10">
        <f t="shared" si="4"/>
        <v>0.33599999999999997</v>
      </c>
      <c r="T39" s="10">
        <f t="shared" si="5"/>
        <v>3.4140000000000001</v>
      </c>
      <c r="U39" s="9">
        <f t="shared" si="6"/>
        <v>0.91039999999999999</v>
      </c>
    </row>
    <row r="40" spans="1:21" x14ac:dyDescent="0.3">
      <c r="A40" s="1">
        <v>39</v>
      </c>
      <c r="B40" s="1" t="s">
        <v>194</v>
      </c>
      <c r="C40" s="4">
        <v>45334.388321759259</v>
      </c>
      <c r="D40" s="5">
        <f t="shared" si="0"/>
        <v>45334</v>
      </c>
      <c r="E40" s="3">
        <f t="shared" si="1"/>
        <v>9</v>
      </c>
      <c r="F40" s="1" t="str" cm="1">
        <f t="array" ref="F40">_xlfn.IFS(
E40&lt;11,"Morning",
E40&lt;15,"Afternoon",
TRUE,"Evening"
)</f>
        <v>Morning</v>
      </c>
      <c r="G40" s="3" t="str">
        <f t="shared" si="2"/>
        <v>Mon</v>
      </c>
      <c r="H40" s="1" t="s">
        <v>159</v>
      </c>
      <c r="I40" s="1" t="s">
        <v>149</v>
      </c>
      <c r="J40" s="1" t="s">
        <v>105</v>
      </c>
      <c r="K40" s="1" t="str">
        <f>_xlfn.XLOOKUP($J40, items_clean!$A:$A, items_clean!$B:$B, "")</f>
        <v>HDR-FLT</v>
      </c>
      <c r="L40" s="1" t="str">
        <f>_xlfn.XLOOKUP($J40, items_clean!$A:$A, items_clean!$C:$C, "")</f>
        <v>Flat White</v>
      </c>
      <c r="M40" s="1" t="str">
        <f>_xlfn.XLOOKUP($J40, items_clean!$A:$A, items_clean!$D:$D, "")</f>
        <v>Hot Drinks</v>
      </c>
      <c r="N40" s="1" t="str">
        <f>_xlfn.XLOOKUP($J40, items_clean!$A:$A, items_clean!$E:$E, "")</f>
        <v>N/A</v>
      </c>
      <c r="O40" s="3">
        <v>1</v>
      </c>
      <c r="P40" s="2">
        <f>_xlfn.XLOOKUP($J40, items_clean!$A:$A, items_clean!$F:$F, "")</f>
        <v>3.15</v>
      </c>
      <c r="Q40" s="2">
        <f t="shared" si="3"/>
        <v>3.15</v>
      </c>
      <c r="R40" s="7">
        <f>_xlfn.XLOOKUP(K40, recipe_cost!$A:$A, recipe_cost!$B:$B, "")</f>
        <v>0.28799999999999998</v>
      </c>
      <c r="S40" s="10">
        <f t="shared" si="4"/>
        <v>0.28799999999999998</v>
      </c>
      <c r="T40" s="10">
        <f t="shared" si="5"/>
        <v>2.8620000000000001</v>
      </c>
      <c r="U40" s="9">
        <f t="shared" si="6"/>
        <v>0.90857142857142859</v>
      </c>
    </row>
    <row r="41" spans="1:21" x14ac:dyDescent="0.3">
      <c r="A41" s="1">
        <v>40</v>
      </c>
      <c r="B41" s="1" t="s">
        <v>194</v>
      </c>
      <c r="C41" s="4">
        <v>45334.388321759259</v>
      </c>
      <c r="D41" s="5">
        <f t="shared" si="0"/>
        <v>45334</v>
      </c>
      <c r="E41" s="3">
        <f t="shared" si="1"/>
        <v>9</v>
      </c>
      <c r="F41" s="1" t="str" cm="1">
        <f t="array" ref="F41">_xlfn.IFS(
E41&lt;11,"Morning",
E41&lt;15,"Afternoon",
TRUE,"Evening"
)</f>
        <v>Morning</v>
      </c>
      <c r="G41" s="3" t="str">
        <f t="shared" si="2"/>
        <v>Mon</v>
      </c>
      <c r="H41" s="1" t="s">
        <v>159</v>
      </c>
      <c r="I41" s="1" t="s">
        <v>778</v>
      </c>
      <c r="J41" s="1" t="s">
        <v>131</v>
      </c>
      <c r="K41" s="1" t="str">
        <f>_xlfn.XLOOKUP($J41, items_clean!$A:$A, items_clean!$B:$B, "")</f>
        <v>CDR-ICT-LG</v>
      </c>
      <c r="L41" s="1" t="str">
        <f>_xlfn.XLOOKUP($J41, items_clean!$A:$A, items_clean!$C:$C, "")</f>
        <v>Iced Tea</v>
      </c>
      <c r="M41" s="1" t="str">
        <f>_xlfn.XLOOKUP($J41, items_clean!$A:$A, items_clean!$D:$D, "")</f>
        <v>Cold Drinks</v>
      </c>
      <c r="N41" s="1" t="str">
        <f>_xlfn.XLOOKUP($J41, items_clean!$A:$A, items_clean!$E:$E, "")</f>
        <v>Large</v>
      </c>
      <c r="O41" s="3">
        <v>1</v>
      </c>
      <c r="P41" s="2">
        <f>_xlfn.XLOOKUP($J41, items_clean!$A:$A, items_clean!$F:$F, "")</f>
        <v>3.55</v>
      </c>
      <c r="Q41" s="2">
        <f t="shared" si="3"/>
        <v>3.55</v>
      </c>
      <c r="R41" s="7">
        <f>_xlfn.XLOOKUP(K41, recipe_cost!$A:$A, recipe_cost!$B:$B, "")</f>
        <v>0.26984999999999998</v>
      </c>
      <c r="S41" s="10">
        <f t="shared" si="4"/>
        <v>0.26984999999999998</v>
      </c>
      <c r="T41" s="10">
        <f t="shared" si="5"/>
        <v>3.2801499999999999</v>
      </c>
      <c r="U41" s="9">
        <f t="shared" si="6"/>
        <v>0.92398591549295772</v>
      </c>
    </row>
    <row r="42" spans="1:21" x14ac:dyDescent="0.3">
      <c r="A42" s="1">
        <v>41</v>
      </c>
      <c r="B42" s="1" t="s">
        <v>194</v>
      </c>
      <c r="C42" s="4">
        <v>45334.388321759259</v>
      </c>
      <c r="D42" s="5">
        <f t="shared" si="0"/>
        <v>45334</v>
      </c>
      <c r="E42" s="3">
        <f t="shared" si="1"/>
        <v>9</v>
      </c>
      <c r="F42" s="1" t="str" cm="1">
        <f t="array" ref="F42">_xlfn.IFS(
E42&lt;11,"Morning",
E42&lt;15,"Afternoon",
TRUE,"Evening"
)</f>
        <v>Morning</v>
      </c>
      <c r="G42" s="3" t="str">
        <f t="shared" si="2"/>
        <v>Mon</v>
      </c>
      <c r="H42" s="1" t="s">
        <v>159</v>
      </c>
      <c r="I42" s="1" t="s">
        <v>778</v>
      </c>
      <c r="J42" s="1" t="s">
        <v>118</v>
      </c>
      <c r="K42" s="1" t="str">
        <f>_xlfn.XLOOKUP($J42, items_clean!$A:$A, items_clean!$B:$B, "")</f>
        <v>HDR-WMO-LG</v>
      </c>
      <c r="L42" s="1" t="str">
        <f>_xlfn.XLOOKUP($J42, items_clean!$A:$A, items_clean!$C:$C, "")</f>
        <v>White Mocha</v>
      </c>
      <c r="M42" s="1" t="str">
        <f>_xlfn.XLOOKUP($J42, items_clean!$A:$A, items_clean!$D:$D, "")</f>
        <v>Hot Drinks</v>
      </c>
      <c r="N42" s="1" t="str">
        <f>_xlfn.XLOOKUP($J42, items_clean!$A:$A, items_clean!$E:$E, "")</f>
        <v>Large</v>
      </c>
      <c r="O42" s="3">
        <v>1</v>
      </c>
      <c r="P42" s="2">
        <f>_xlfn.XLOOKUP($J42, items_clean!$A:$A, items_clean!$F:$F, "")</f>
        <v>4.7</v>
      </c>
      <c r="Q42" s="2">
        <f t="shared" si="3"/>
        <v>4.7</v>
      </c>
      <c r="R42" s="7">
        <f>_xlfn.XLOOKUP(K42, recipe_cost!$A:$A, recipe_cost!$B:$B, "")</f>
        <v>0.56669999999999998</v>
      </c>
      <c r="S42" s="10">
        <f t="shared" si="4"/>
        <v>0.56669999999999998</v>
      </c>
      <c r="T42" s="10">
        <f t="shared" si="5"/>
        <v>4.1333000000000002</v>
      </c>
      <c r="U42" s="9">
        <f t="shared" si="6"/>
        <v>0.87942553191489359</v>
      </c>
    </row>
    <row r="43" spans="1:21" x14ac:dyDescent="0.3">
      <c r="A43" s="1">
        <v>42</v>
      </c>
      <c r="B43" s="1" t="s">
        <v>195</v>
      </c>
      <c r="C43" s="4">
        <v>45334.399375000001</v>
      </c>
      <c r="D43" s="5">
        <f t="shared" si="0"/>
        <v>45334</v>
      </c>
      <c r="E43" s="3">
        <f t="shared" si="1"/>
        <v>9</v>
      </c>
      <c r="F43" s="1" t="str" cm="1">
        <f t="array" ref="F43">_xlfn.IFS(
E43&lt;11,"Morning",
E43&lt;15,"Afternoon",
TRUE,"Evening"
)</f>
        <v>Morning</v>
      </c>
      <c r="G43" s="3" t="str">
        <f t="shared" si="2"/>
        <v>Mon</v>
      </c>
      <c r="H43" s="1" t="s">
        <v>148</v>
      </c>
      <c r="I43" s="1" t="s">
        <v>146</v>
      </c>
      <c r="J43" s="1" t="s">
        <v>104</v>
      </c>
      <c r="K43" s="1" t="str">
        <f>_xlfn.XLOOKUP($J43, items_clean!$A:$A, items_clean!$B:$B, "")</f>
        <v>HDR-LAT-LG</v>
      </c>
      <c r="L43" s="1" t="str">
        <f>_xlfn.XLOOKUP($J43, items_clean!$A:$A, items_clean!$C:$C, "")</f>
        <v>Latte</v>
      </c>
      <c r="M43" s="1" t="str">
        <f>_xlfn.XLOOKUP($J43, items_clean!$A:$A, items_clean!$D:$D, "")</f>
        <v>Hot Drinks</v>
      </c>
      <c r="N43" s="1" t="str">
        <f>_xlfn.XLOOKUP($J43, items_clean!$A:$A, items_clean!$E:$E, "")</f>
        <v>Large</v>
      </c>
      <c r="O43" s="3">
        <v>1</v>
      </c>
      <c r="P43" s="2">
        <f>_xlfn.XLOOKUP($J43, items_clean!$A:$A, items_clean!$F:$F, "")</f>
        <v>3.75</v>
      </c>
      <c r="Q43" s="2">
        <f t="shared" si="3"/>
        <v>3.75</v>
      </c>
      <c r="R43" s="7">
        <f>_xlfn.XLOOKUP(K43, recipe_cost!$A:$A, recipe_cost!$B:$B, "")</f>
        <v>0.33599999999999997</v>
      </c>
      <c r="S43" s="10">
        <f t="shared" si="4"/>
        <v>0.33599999999999997</v>
      </c>
      <c r="T43" s="10">
        <f t="shared" si="5"/>
        <v>3.4140000000000001</v>
      </c>
      <c r="U43" s="9">
        <f t="shared" si="6"/>
        <v>0.91039999999999999</v>
      </c>
    </row>
    <row r="44" spans="1:21" x14ac:dyDescent="0.3">
      <c r="A44" s="1">
        <v>43</v>
      </c>
      <c r="B44" s="1" t="s">
        <v>196</v>
      </c>
      <c r="C44" s="4">
        <v>45334.408784722225</v>
      </c>
      <c r="D44" s="5">
        <f t="shared" si="0"/>
        <v>45334</v>
      </c>
      <c r="E44" s="3">
        <f t="shared" si="1"/>
        <v>9</v>
      </c>
      <c r="F44" s="1" t="str" cm="1">
        <f t="array" ref="F44">_xlfn.IFS(
E44&lt;11,"Morning",
E44&lt;15,"Afternoon",
TRUE,"Evening"
)</f>
        <v>Morning</v>
      </c>
      <c r="G44" s="3" t="str">
        <f t="shared" si="2"/>
        <v>Mon</v>
      </c>
      <c r="H44" s="1" t="s">
        <v>179</v>
      </c>
      <c r="I44" s="1" t="s">
        <v>146</v>
      </c>
      <c r="J44" s="1" t="s">
        <v>132</v>
      </c>
      <c r="K44" s="1" t="str">
        <f>_xlfn.XLOOKUP($J44, items_clean!$A:$A, items_clean!$B:$B, "")</f>
        <v>CDR-LMN-MD</v>
      </c>
      <c r="L44" s="1" t="str">
        <f>_xlfn.XLOOKUP($J44, items_clean!$A:$A, items_clean!$C:$C, "")</f>
        <v>Lemonade</v>
      </c>
      <c r="M44" s="1" t="str">
        <f>_xlfn.XLOOKUP($J44, items_clean!$A:$A, items_clean!$D:$D, "")</f>
        <v>Cold Drinks</v>
      </c>
      <c r="N44" s="1" t="str">
        <f>_xlfn.XLOOKUP($J44, items_clean!$A:$A, items_clean!$E:$E, "")</f>
        <v>Medium</v>
      </c>
      <c r="O44" s="3">
        <v>1</v>
      </c>
      <c r="P44" s="2">
        <f>_xlfn.XLOOKUP($J44, items_clean!$A:$A, items_clean!$F:$F, "")</f>
        <v>3.35</v>
      </c>
      <c r="Q44" s="2">
        <f t="shared" si="3"/>
        <v>3.35</v>
      </c>
      <c r="R44" s="7">
        <f>_xlfn.XLOOKUP(K44, recipe_cost!$A:$A, recipe_cost!$B:$B, "")</f>
        <v>0.34499999999999997</v>
      </c>
      <c r="S44" s="10">
        <f t="shared" si="4"/>
        <v>0.34499999999999997</v>
      </c>
      <c r="T44" s="10">
        <f t="shared" si="5"/>
        <v>3.0049999999999999</v>
      </c>
      <c r="U44" s="9">
        <f t="shared" si="6"/>
        <v>0.89701492537313432</v>
      </c>
    </row>
    <row r="45" spans="1:21" x14ac:dyDescent="0.3">
      <c r="A45" s="1">
        <v>44</v>
      </c>
      <c r="B45" s="1" t="s">
        <v>197</v>
      </c>
      <c r="C45" s="4">
        <v>45334.418263888889</v>
      </c>
      <c r="D45" s="5">
        <f t="shared" si="0"/>
        <v>45334</v>
      </c>
      <c r="E45" s="3">
        <f t="shared" si="1"/>
        <v>10</v>
      </c>
      <c r="F45" s="1" t="str" cm="1">
        <f t="array" ref="F45">_xlfn.IFS(
E45&lt;11,"Morning",
E45&lt;15,"Afternoon",
TRUE,"Evening"
)</f>
        <v>Morning</v>
      </c>
      <c r="G45" s="3" t="str">
        <f t="shared" si="2"/>
        <v>Mon</v>
      </c>
      <c r="H45" s="1" t="s">
        <v>153</v>
      </c>
      <c r="I45" s="1" t="s">
        <v>146</v>
      </c>
      <c r="J45" s="1" t="s">
        <v>110</v>
      </c>
      <c r="K45" s="1" t="str">
        <f>_xlfn.XLOOKUP($J45, items_clean!$A:$A, items_clean!$B:$B, "")</f>
        <v>HDR-CRM-LG</v>
      </c>
      <c r="L45" s="1" t="str">
        <f>_xlfn.XLOOKUP($J45, items_clean!$A:$A, items_clean!$C:$C, "")</f>
        <v>Caramel Macchiato</v>
      </c>
      <c r="M45" s="1" t="str">
        <f>_xlfn.XLOOKUP($J45, items_clean!$A:$A, items_clean!$D:$D, "")</f>
        <v>Hot Drinks</v>
      </c>
      <c r="N45" s="1" t="str">
        <f>_xlfn.XLOOKUP($J45, items_clean!$A:$A, items_clean!$E:$E, "")</f>
        <v>Large</v>
      </c>
      <c r="O45" s="3">
        <v>1</v>
      </c>
      <c r="P45" s="2">
        <f>_xlfn.XLOOKUP($J45, items_clean!$A:$A, items_clean!$F:$F, "")</f>
        <v>4.5999999999999996</v>
      </c>
      <c r="Q45" s="2">
        <f t="shared" si="3"/>
        <v>4.5999999999999996</v>
      </c>
      <c r="R45" s="7">
        <f>_xlfn.XLOOKUP(K45, recipe_cost!$A:$A, recipe_cost!$B:$B, "")</f>
        <v>0.56669999999999998</v>
      </c>
      <c r="S45" s="10">
        <f t="shared" si="4"/>
        <v>0.56669999999999998</v>
      </c>
      <c r="T45" s="10">
        <f t="shared" si="5"/>
        <v>4.0332999999999997</v>
      </c>
      <c r="U45" s="9">
        <f t="shared" si="6"/>
        <v>0.87680434782608696</v>
      </c>
    </row>
    <row r="46" spans="1:21" x14ac:dyDescent="0.3">
      <c r="A46" s="1">
        <v>45</v>
      </c>
      <c r="B46" s="1" t="s">
        <v>198</v>
      </c>
      <c r="C46" s="4">
        <v>45334.428993055553</v>
      </c>
      <c r="D46" s="5">
        <f t="shared" si="0"/>
        <v>45334</v>
      </c>
      <c r="E46" s="3">
        <f t="shared" si="1"/>
        <v>10</v>
      </c>
      <c r="F46" s="1" t="str" cm="1">
        <f t="array" ref="F46">_xlfn.IFS(
E46&lt;11,"Morning",
E46&lt;15,"Afternoon",
TRUE,"Evening"
)</f>
        <v>Morning</v>
      </c>
      <c r="G46" s="3" t="str">
        <f t="shared" si="2"/>
        <v>Mon</v>
      </c>
      <c r="H46" s="1" t="s">
        <v>159</v>
      </c>
      <c r="I46" s="1" t="s">
        <v>146</v>
      </c>
      <c r="J46" s="1" t="s">
        <v>115</v>
      </c>
      <c r="K46" s="1" t="str">
        <f>_xlfn.XLOOKUP($J46, items_clean!$A:$A, items_clean!$B:$B, "")</f>
        <v>HDR-MOC-LG</v>
      </c>
      <c r="L46" s="1" t="str">
        <f>_xlfn.XLOOKUP($J46, items_clean!$A:$A, items_clean!$C:$C, "")</f>
        <v>Mocha</v>
      </c>
      <c r="M46" s="1" t="str">
        <f>_xlfn.XLOOKUP($J46, items_clean!$A:$A, items_clean!$D:$D, "")</f>
        <v>Hot Drinks</v>
      </c>
      <c r="N46" s="1" t="str">
        <f>_xlfn.XLOOKUP($J46, items_clean!$A:$A, items_clean!$E:$E, "")</f>
        <v>Large</v>
      </c>
      <c r="O46" s="3">
        <v>1</v>
      </c>
      <c r="P46" s="2">
        <f>_xlfn.XLOOKUP($J46, items_clean!$A:$A, items_clean!$F:$F, "")</f>
        <v>4.5999999999999996</v>
      </c>
      <c r="Q46" s="2">
        <f t="shared" si="3"/>
        <v>4.5999999999999996</v>
      </c>
      <c r="R46" s="7">
        <f>_xlfn.XLOOKUP(K46, recipe_cost!$A:$A, recipe_cost!$B:$B, "")</f>
        <v>0.56669999999999998</v>
      </c>
      <c r="S46" s="10">
        <f t="shared" si="4"/>
        <v>0.56669999999999998</v>
      </c>
      <c r="T46" s="10">
        <f t="shared" si="5"/>
        <v>4.0332999999999997</v>
      </c>
      <c r="U46" s="9">
        <f t="shared" si="6"/>
        <v>0.87680434782608696</v>
      </c>
    </row>
    <row r="47" spans="1:21" x14ac:dyDescent="0.3">
      <c r="A47" s="1">
        <v>46</v>
      </c>
      <c r="B47" s="1" t="s">
        <v>199</v>
      </c>
      <c r="C47" s="4">
        <v>45334.439837962964</v>
      </c>
      <c r="D47" s="5">
        <f t="shared" si="0"/>
        <v>45334</v>
      </c>
      <c r="E47" s="3">
        <f t="shared" si="1"/>
        <v>10</v>
      </c>
      <c r="F47" s="1" t="str" cm="1">
        <f t="array" ref="F47">_xlfn.IFS(
E47&lt;11,"Morning",
E47&lt;15,"Afternoon",
TRUE,"Evening"
)</f>
        <v>Morning</v>
      </c>
      <c r="G47" s="3" t="str">
        <f t="shared" si="2"/>
        <v>Mon</v>
      </c>
      <c r="H47" s="1" t="s">
        <v>145</v>
      </c>
      <c r="I47" s="1" t="s">
        <v>149</v>
      </c>
      <c r="J47" s="1" t="s">
        <v>126</v>
      </c>
      <c r="K47" s="1" t="str">
        <f>_xlfn.XLOOKUP($J47, items_clean!$A:$A, items_clean!$B:$B, "")</f>
        <v>CDR-CMO-MD</v>
      </c>
      <c r="L47" s="1" t="str">
        <f>_xlfn.XLOOKUP($J47, items_clean!$A:$A, items_clean!$C:$C, "")</f>
        <v>Cold Mocha</v>
      </c>
      <c r="M47" s="1" t="str">
        <f>_xlfn.XLOOKUP($J47, items_clean!$A:$A, items_clean!$D:$D, "")</f>
        <v>Cold Drinks</v>
      </c>
      <c r="N47" s="1" t="str">
        <f>_xlfn.XLOOKUP($J47, items_clean!$A:$A, items_clean!$E:$E, "")</f>
        <v>Medium</v>
      </c>
      <c r="O47" s="3">
        <v>1</v>
      </c>
      <c r="P47" s="2">
        <f>_xlfn.XLOOKUP($J47, items_clean!$A:$A, items_clean!$F:$F, "")</f>
        <v>4</v>
      </c>
      <c r="Q47" s="2">
        <f t="shared" si="3"/>
        <v>4</v>
      </c>
      <c r="R47" s="7">
        <f>_xlfn.XLOOKUP(K47, recipe_cost!$A:$A, recipe_cost!$B:$B, "")</f>
        <v>0.4098</v>
      </c>
      <c r="S47" s="10">
        <f t="shared" si="4"/>
        <v>0.4098</v>
      </c>
      <c r="T47" s="10">
        <f t="shared" si="5"/>
        <v>3.5901999999999998</v>
      </c>
      <c r="U47" s="9">
        <f t="shared" si="6"/>
        <v>0.89754999999999996</v>
      </c>
    </row>
    <row r="48" spans="1:21" x14ac:dyDescent="0.3">
      <c r="A48" s="1">
        <v>47</v>
      </c>
      <c r="B48" s="1" t="s">
        <v>200</v>
      </c>
      <c r="C48" s="4">
        <v>45334.451493055552</v>
      </c>
      <c r="D48" s="5">
        <f t="shared" si="0"/>
        <v>45334</v>
      </c>
      <c r="E48" s="3">
        <f t="shared" si="1"/>
        <v>10</v>
      </c>
      <c r="F48" s="1" t="str" cm="1">
        <f t="array" ref="F48">_xlfn.IFS(
E48&lt;11,"Morning",
E48&lt;15,"Afternoon",
TRUE,"Evening"
)</f>
        <v>Morning</v>
      </c>
      <c r="G48" s="3" t="str">
        <f t="shared" si="2"/>
        <v>Mon</v>
      </c>
      <c r="H48" s="1" t="s">
        <v>155</v>
      </c>
      <c r="I48" s="1" t="s">
        <v>146</v>
      </c>
      <c r="J48" s="1" t="s">
        <v>113</v>
      </c>
      <c r="K48" s="1" t="str">
        <f>_xlfn.XLOOKUP($J48, items_clean!$A:$A, items_clean!$B:$B, "")</f>
        <v>HDR-MOC-MD</v>
      </c>
      <c r="L48" s="1" t="str">
        <f>_xlfn.XLOOKUP($J48, items_clean!$A:$A, items_clean!$C:$C, "")</f>
        <v>Mocha</v>
      </c>
      <c r="M48" s="1" t="str">
        <f>_xlfn.XLOOKUP($J48, items_clean!$A:$A, items_clean!$D:$D, "")</f>
        <v>Hot Drinks</v>
      </c>
      <c r="N48" s="1" t="str">
        <f>_xlfn.XLOOKUP($J48, items_clean!$A:$A, items_clean!$E:$E, "")</f>
        <v>Medium</v>
      </c>
      <c r="O48" s="3">
        <v>1</v>
      </c>
      <c r="P48" s="2">
        <f>_xlfn.XLOOKUP($J48, items_clean!$A:$A, items_clean!$F:$F, "")</f>
        <v>4</v>
      </c>
      <c r="Q48" s="2">
        <f t="shared" si="3"/>
        <v>4</v>
      </c>
      <c r="R48" s="7">
        <f>_xlfn.XLOOKUP(K48, recipe_cost!$A:$A, recipe_cost!$B:$B, "")</f>
        <v>0.4098</v>
      </c>
      <c r="S48" s="10">
        <f t="shared" si="4"/>
        <v>0.4098</v>
      </c>
      <c r="T48" s="10">
        <f t="shared" si="5"/>
        <v>3.5901999999999998</v>
      </c>
      <c r="U48" s="9">
        <f t="shared" si="6"/>
        <v>0.89754999999999996</v>
      </c>
    </row>
    <row r="49" spans="1:21" x14ac:dyDescent="0.3">
      <c r="A49" s="1">
        <v>48</v>
      </c>
      <c r="B49" s="1" t="s">
        <v>201</v>
      </c>
      <c r="C49" s="4">
        <v>45334.464537037034</v>
      </c>
      <c r="D49" s="5">
        <f t="shared" si="0"/>
        <v>45334</v>
      </c>
      <c r="E49" s="3">
        <f t="shared" si="1"/>
        <v>11</v>
      </c>
      <c r="F49" s="1" t="str" cm="1">
        <f t="array" ref="F49">_xlfn.IFS(
E49&lt;11,"Morning",
E49&lt;15,"Afternoon",
TRUE,"Evening"
)</f>
        <v>Afternoon</v>
      </c>
      <c r="G49" s="3" t="str">
        <f t="shared" si="2"/>
        <v>Mon</v>
      </c>
      <c r="H49" s="1" t="s">
        <v>151</v>
      </c>
      <c r="I49" s="1" t="s">
        <v>146</v>
      </c>
      <c r="J49" s="1" t="s">
        <v>128</v>
      </c>
      <c r="K49" s="1" t="str">
        <f>_xlfn.XLOOKUP($J49, items_clean!$A:$A, items_clean!$B:$B, "")</f>
        <v>CDR-CMO-LG</v>
      </c>
      <c r="L49" s="1" t="str">
        <f>_xlfn.XLOOKUP($J49, items_clean!$A:$A, items_clean!$C:$C, "")</f>
        <v>Cold Mocha</v>
      </c>
      <c r="M49" s="1" t="str">
        <f>_xlfn.XLOOKUP($J49, items_clean!$A:$A, items_clean!$D:$D, "")</f>
        <v>Cold Drinks</v>
      </c>
      <c r="N49" s="1" t="str">
        <f>_xlfn.XLOOKUP($J49, items_clean!$A:$A, items_clean!$E:$E, "")</f>
        <v>Large</v>
      </c>
      <c r="O49" s="3">
        <v>1</v>
      </c>
      <c r="P49" s="2">
        <f>_xlfn.XLOOKUP($J49, items_clean!$A:$A, items_clean!$F:$F, "")</f>
        <v>4.5999999999999996</v>
      </c>
      <c r="Q49" s="2">
        <f t="shared" si="3"/>
        <v>4.5999999999999996</v>
      </c>
      <c r="R49" s="7">
        <f>_xlfn.XLOOKUP(K49, recipe_cost!$A:$A, recipe_cost!$B:$B, "")</f>
        <v>0.56669999999999998</v>
      </c>
      <c r="S49" s="10">
        <f t="shared" si="4"/>
        <v>0.56669999999999998</v>
      </c>
      <c r="T49" s="10">
        <f t="shared" si="5"/>
        <v>4.0332999999999997</v>
      </c>
      <c r="U49" s="9">
        <f t="shared" si="6"/>
        <v>0.87680434782608696</v>
      </c>
    </row>
    <row r="50" spans="1:21" x14ac:dyDescent="0.3">
      <c r="A50" s="1">
        <v>49</v>
      </c>
      <c r="B50" s="1" t="s">
        <v>202</v>
      </c>
      <c r="C50" s="4">
        <v>45334.477476851855</v>
      </c>
      <c r="D50" s="5">
        <f t="shared" si="0"/>
        <v>45334</v>
      </c>
      <c r="E50" s="3">
        <f t="shared" si="1"/>
        <v>11</v>
      </c>
      <c r="F50" s="1" t="str" cm="1">
        <f t="array" ref="F50">_xlfn.IFS(
E50&lt;11,"Morning",
E50&lt;15,"Afternoon",
TRUE,"Evening"
)</f>
        <v>Afternoon</v>
      </c>
      <c r="G50" s="3" t="str">
        <f t="shared" si="2"/>
        <v>Mon</v>
      </c>
      <c r="H50" s="1" t="s">
        <v>163</v>
      </c>
      <c r="I50" s="1" t="s">
        <v>149</v>
      </c>
      <c r="J50" s="1" t="s">
        <v>105</v>
      </c>
      <c r="K50" s="1" t="str">
        <f>_xlfn.XLOOKUP($J50, items_clean!$A:$A, items_clean!$B:$B, "")</f>
        <v>HDR-FLT</v>
      </c>
      <c r="L50" s="1" t="str">
        <f>_xlfn.XLOOKUP($J50, items_clean!$A:$A, items_clean!$C:$C, "")</f>
        <v>Flat White</v>
      </c>
      <c r="M50" s="1" t="str">
        <f>_xlfn.XLOOKUP($J50, items_clean!$A:$A, items_clean!$D:$D, "")</f>
        <v>Hot Drinks</v>
      </c>
      <c r="N50" s="1" t="str">
        <f>_xlfn.XLOOKUP($J50, items_clean!$A:$A, items_clean!$E:$E, "")</f>
        <v>N/A</v>
      </c>
      <c r="O50" s="3">
        <v>1</v>
      </c>
      <c r="P50" s="2">
        <f>_xlfn.XLOOKUP($J50, items_clean!$A:$A, items_clean!$F:$F, "")</f>
        <v>3.15</v>
      </c>
      <c r="Q50" s="2">
        <f t="shared" si="3"/>
        <v>3.15</v>
      </c>
      <c r="R50" s="7">
        <f>_xlfn.XLOOKUP(K50, recipe_cost!$A:$A, recipe_cost!$B:$B, "")</f>
        <v>0.28799999999999998</v>
      </c>
      <c r="S50" s="10">
        <f t="shared" si="4"/>
        <v>0.28799999999999998</v>
      </c>
      <c r="T50" s="10">
        <f t="shared" si="5"/>
        <v>2.8620000000000001</v>
      </c>
      <c r="U50" s="9">
        <f t="shared" si="6"/>
        <v>0.90857142857142859</v>
      </c>
    </row>
    <row r="51" spans="1:21" x14ac:dyDescent="0.3">
      <c r="A51" s="1">
        <v>50</v>
      </c>
      <c r="B51" s="1" t="s">
        <v>202</v>
      </c>
      <c r="C51" s="4">
        <v>45334.477476851855</v>
      </c>
      <c r="D51" s="5">
        <f t="shared" si="0"/>
        <v>45334</v>
      </c>
      <c r="E51" s="3">
        <f t="shared" si="1"/>
        <v>11</v>
      </c>
      <c r="F51" s="1" t="str" cm="1">
        <f t="array" ref="F51">_xlfn.IFS(
E51&lt;11,"Morning",
E51&lt;15,"Afternoon",
TRUE,"Evening"
)</f>
        <v>Afternoon</v>
      </c>
      <c r="G51" s="3" t="str">
        <f t="shared" si="2"/>
        <v>Mon</v>
      </c>
      <c r="H51" s="1" t="s">
        <v>163</v>
      </c>
      <c r="I51" s="1" t="s">
        <v>778</v>
      </c>
      <c r="J51" s="1" t="s">
        <v>100</v>
      </c>
      <c r="K51" s="1" t="str">
        <f>_xlfn.XLOOKUP($J51, items_clean!$A:$A, items_clean!$B:$B, "")</f>
        <v>HDR-CAP-LG</v>
      </c>
      <c r="L51" s="1" t="str">
        <f>_xlfn.XLOOKUP($J51, items_clean!$A:$A, items_clean!$C:$C, "")</f>
        <v>Cappuccino</v>
      </c>
      <c r="M51" s="1" t="str">
        <f>_xlfn.XLOOKUP($J51, items_clean!$A:$A, items_clean!$D:$D, "")</f>
        <v>Hot Drinks</v>
      </c>
      <c r="N51" s="1" t="str">
        <f>_xlfn.XLOOKUP($J51, items_clean!$A:$A, items_clean!$E:$E, "")</f>
        <v>Large</v>
      </c>
      <c r="O51" s="3">
        <v>1</v>
      </c>
      <c r="P51" s="2">
        <f>_xlfn.XLOOKUP($J51, items_clean!$A:$A, items_clean!$F:$F, "")</f>
        <v>3.75</v>
      </c>
      <c r="Q51" s="2">
        <f t="shared" si="3"/>
        <v>3.75</v>
      </c>
      <c r="R51" s="7">
        <f>_xlfn.XLOOKUP(K51, recipe_cost!$A:$A, recipe_cost!$B:$B, "")</f>
        <v>0.33599999999999997</v>
      </c>
      <c r="S51" s="10">
        <f t="shared" si="4"/>
        <v>0.33599999999999997</v>
      </c>
      <c r="T51" s="10">
        <f t="shared" si="5"/>
        <v>3.4140000000000001</v>
      </c>
      <c r="U51" s="9">
        <f t="shared" si="6"/>
        <v>0.91039999999999999</v>
      </c>
    </row>
    <row r="52" spans="1:21" x14ac:dyDescent="0.3">
      <c r="A52" s="1">
        <v>51</v>
      </c>
      <c r="B52" s="1" t="s">
        <v>203</v>
      </c>
      <c r="C52" s="4">
        <v>45334.505810185183</v>
      </c>
      <c r="D52" s="5">
        <f t="shared" si="0"/>
        <v>45334</v>
      </c>
      <c r="E52" s="3">
        <f t="shared" si="1"/>
        <v>12</v>
      </c>
      <c r="F52" s="1" t="str" cm="1">
        <f t="array" ref="F52">_xlfn.IFS(
E52&lt;11,"Morning",
E52&lt;15,"Afternoon",
TRUE,"Evening"
)</f>
        <v>Afternoon</v>
      </c>
      <c r="G52" s="3" t="str">
        <f t="shared" si="2"/>
        <v>Mon</v>
      </c>
      <c r="H52" s="1" t="s">
        <v>165</v>
      </c>
      <c r="I52" s="1" t="s">
        <v>149</v>
      </c>
      <c r="J52" s="1" t="s">
        <v>122</v>
      </c>
      <c r="K52" s="1" t="str">
        <f>_xlfn.XLOOKUP($J52, items_clean!$A:$A, items_clean!$B:$B, "")</f>
        <v>CDR-CCF-MD</v>
      </c>
      <c r="L52" s="1" t="str">
        <f>_xlfn.XLOOKUP($J52, items_clean!$A:$A, items_clean!$C:$C, "")</f>
        <v>Cold Coffee</v>
      </c>
      <c r="M52" s="1" t="str">
        <f>_xlfn.XLOOKUP($J52, items_clean!$A:$A, items_clean!$D:$D, "")</f>
        <v>Cold Drinks</v>
      </c>
      <c r="N52" s="1" t="str">
        <f>_xlfn.XLOOKUP($J52, items_clean!$A:$A, items_clean!$E:$E, "")</f>
        <v>Medium</v>
      </c>
      <c r="O52" s="3">
        <v>1</v>
      </c>
      <c r="P52" s="2">
        <f>_xlfn.XLOOKUP($J52, items_clean!$A:$A, items_clean!$F:$F, "")</f>
        <v>3.45</v>
      </c>
      <c r="Q52" s="2">
        <f t="shared" si="3"/>
        <v>3.45</v>
      </c>
      <c r="R52" s="7">
        <f>_xlfn.XLOOKUP(K52, recipe_cost!$A:$A, recipe_cost!$B:$B, "")</f>
        <v>0.252</v>
      </c>
      <c r="S52" s="10">
        <f t="shared" si="4"/>
        <v>0.252</v>
      </c>
      <c r="T52" s="10">
        <f t="shared" si="5"/>
        <v>3.1980000000000004</v>
      </c>
      <c r="U52" s="9">
        <f t="shared" si="6"/>
        <v>0.92695652173913046</v>
      </c>
    </row>
    <row r="53" spans="1:21" x14ac:dyDescent="0.3">
      <c r="A53" s="1">
        <v>52</v>
      </c>
      <c r="B53" s="1" t="s">
        <v>203</v>
      </c>
      <c r="C53" s="4">
        <v>45334.505810185183</v>
      </c>
      <c r="D53" s="5">
        <f t="shared" si="0"/>
        <v>45334</v>
      </c>
      <c r="E53" s="3">
        <f t="shared" si="1"/>
        <v>12</v>
      </c>
      <c r="F53" s="1" t="str" cm="1">
        <f t="array" ref="F53">_xlfn.IFS(
E53&lt;11,"Morning",
E53&lt;15,"Afternoon",
TRUE,"Evening"
)</f>
        <v>Afternoon</v>
      </c>
      <c r="G53" s="3" t="str">
        <f t="shared" si="2"/>
        <v>Mon</v>
      </c>
      <c r="H53" s="1" t="s">
        <v>165</v>
      </c>
      <c r="I53" s="1" t="s">
        <v>778</v>
      </c>
      <c r="J53" s="1" t="s">
        <v>102</v>
      </c>
      <c r="K53" s="1" t="str">
        <f>_xlfn.XLOOKUP($J53, items_clean!$A:$A, items_clean!$B:$B, "")</f>
        <v>HDR-LAT-MD</v>
      </c>
      <c r="L53" s="1" t="str">
        <f>_xlfn.XLOOKUP($J53, items_clean!$A:$A, items_clean!$C:$C, "")</f>
        <v>Latte</v>
      </c>
      <c r="M53" s="1" t="str">
        <f>_xlfn.XLOOKUP($J53, items_clean!$A:$A, items_clean!$D:$D, "")</f>
        <v>Hot Drinks</v>
      </c>
      <c r="N53" s="1" t="str">
        <f>_xlfn.XLOOKUP($J53, items_clean!$A:$A, items_clean!$E:$E, "")</f>
        <v>Medium</v>
      </c>
      <c r="O53" s="3">
        <v>1</v>
      </c>
      <c r="P53" s="2">
        <f>_xlfn.XLOOKUP($J53, items_clean!$A:$A, items_clean!$F:$F, "")</f>
        <v>3.45</v>
      </c>
      <c r="Q53" s="2">
        <f t="shared" si="3"/>
        <v>3.45</v>
      </c>
      <c r="R53" s="7">
        <f>_xlfn.XLOOKUP(K53, recipe_cost!$A:$A, recipe_cost!$B:$B, "")</f>
        <v>0.252</v>
      </c>
      <c r="S53" s="10">
        <f t="shared" si="4"/>
        <v>0.252</v>
      </c>
      <c r="T53" s="10">
        <f t="shared" si="5"/>
        <v>3.1980000000000004</v>
      </c>
      <c r="U53" s="9">
        <f t="shared" si="6"/>
        <v>0.92695652173913046</v>
      </c>
    </row>
    <row r="54" spans="1:21" x14ac:dyDescent="0.3">
      <c r="A54" s="1">
        <v>53</v>
      </c>
      <c r="B54" s="1" t="s">
        <v>203</v>
      </c>
      <c r="C54" s="4">
        <v>45334.505810185183</v>
      </c>
      <c r="D54" s="5">
        <f t="shared" si="0"/>
        <v>45334</v>
      </c>
      <c r="E54" s="3">
        <f t="shared" si="1"/>
        <v>12</v>
      </c>
      <c r="F54" s="1" t="str" cm="1">
        <f t="array" ref="F54">_xlfn.IFS(
E54&lt;11,"Morning",
E54&lt;15,"Afternoon",
TRUE,"Evening"
)</f>
        <v>Afternoon</v>
      </c>
      <c r="G54" s="3" t="str">
        <f t="shared" si="2"/>
        <v>Mon</v>
      </c>
      <c r="H54" s="1" t="s">
        <v>165</v>
      </c>
      <c r="I54" s="1" t="s">
        <v>778</v>
      </c>
      <c r="J54" s="1" t="s">
        <v>125</v>
      </c>
      <c r="K54" s="1" t="str">
        <f>_xlfn.XLOOKUP($J54, items_clean!$A:$A, items_clean!$B:$B, "")</f>
        <v>CDR-CCF-LG</v>
      </c>
      <c r="L54" s="1" t="str">
        <f>_xlfn.XLOOKUP($J54, items_clean!$A:$A, items_clean!$C:$C, "")</f>
        <v>Cold Coffee</v>
      </c>
      <c r="M54" s="1" t="str">
        <f>_xlfn.XLOOKUP($J54, items_clean!$A:$A, items_clean!$D:$D, "")</f>
        <v>Cold Drinks</v>
      </c>
      <c r="N54" s="1" t="str">
        <f>_xlfn.XLOOKUP($J54, items_clean!$A:$A, items_clean!$E:$E, "")</f>
        <v>Large</v>
      </c>
      <c r="O54" s="3">
        <v>1</v>
      </c>
      <c r="P54" s="2">
        <f>_xlfn.XLOOKUP($J54, items_clean!$A:$A, items_clean!$F:$F, "")</f>
        <v>3.75</v>
      </c>
      <c r="Q54" s="2">
        <f t="shared" si="3"/>
        <v>3.75</v>
      </c>
      <c r="R54" s="7">
        <f>_xlfn.XLOOKUP(K54, recipe_cost!$A:$A, recipe_cost!$B:$B, "")</f>
        <v>0.33599999999999997</v>
      </c>
      <c r="S54" s="10">
        <f t="shared" si="4"/>
        <v>0.33599999999999997</v>
      </c>
      <c r="T54" s="10">
        <f t="shared" si="5"/>
        <v>3.4140000000000001</v>
      </c>
      <c r="U54" s="9">
        <f t="shared" si="6"/>
        <v>0.91039999999999999</v>
      </c>
    </row>
    <row r="55" spans="1:21" x14ac:dyDescent="0.3">
      <c r="A55" s="1">
        <v>54</v>
      </c>
      <c r="B55" s="1" t="s">
        <v>204</v>
      </c>
      <c r="C55" s="4">
        <v>45334.50708333333</v>
      </c>
      <c r="D55" s="5">
        <f t="shared" si="0"/>
        <v>45334</v>
      </c>
      <c r="E55" s="3">
        <f t="shared" si="1"/>
        <v>12</v>
      </c>
      <c r="F55" s="1" t="str" cm="1">
        <f t="array" ref="F55">_xlfn.IFS(
E55&lt;11,"Morning",
E55&lt;15,"Afternoon",
TRUE,"Evening"
)</f>
        <v>Afternoon</v>
      </c>
      <c r="G55" s="3" t="str">
        <f t="shared" si="2"/>
        <v>Mon</v>
      </c>
      <c r="H55" s="1" t="s">
        <v>159</v>
      </c>
      <c r="I55" s="1" t="s">
        <v>146</v>
      </c>
      <c r="J55" s="1" t="s">
        <v>105</v>
      </c>
      <c r="K55" s="1" t="str">
        <f>_xlfn.XLOOKUP($J55, items_clean!$A:$A, items_clean!$B:$B, "")</f>
        <v>HDR-FLT</v>
      </c>
      <c r="L55" s="1" t="str">
        <f>_xlfn.XLOOKUP($J55, items_clean!$A:$A, items_clean!$C:$C, "")</f>
        <v>Flat White</v>
      </c>
      <c r="M55" s="1" t="str">
        <f>_xlfn.XLOOKUP($J55, items_clean!$A:$A, items_clean!$D:$D, "")</f>
        <v>Hot Drinks</v>
      </c>
      <c r="N55" s="1" t="str">
        <f>_xlfn.XLOOKUP($J55, items_clean!$A:$A, items_clean!$E:$E, "")</f>
        <v>N/A</v>
      </c>
      <c r="O55" s="3">
        <v>1</v>
      </c>
      <c r="P55" s="2">
        <f>_xlfn.XLOOKUP($J55, items_clean!$A:$A, items_clean!$F:$F, "")</f>
        <v>3.15</v>
      </c>
      <c r="Q55" s="2">
        <f t="shared" si="3"/>
        <v>3.15</v>
      </c>
      <c r="R55" s="7">
        <f>_xlfn.XLOOKUP(K55, recipe_cost!$A:$A, recipe_cost!$B:$B, "")</f>
        <v>0.28799999999999998</v>
      </c>
      <c r="S55" s="10">
        <f t="shared" si="4"/>
        <v>0.28799999999999998</v>
      </c>
      <c r="T55" s="10">
        <f t="shared" si="5"/>
        <v>2.8620000000000001</v>
      </c>
      <c r="U55" s="9">
        <f t="shared" si="6"/>
        <v>0.90857142857142859</v>
      </c>
    </row>
    <row r="56" spans="1:21" x14ac:dyDescent="0.3">
      <c r="A56" s="1">
        <v>55</v>
      </c>
      <c r="B56" s="1" t="s">
        <v>204</v>
      </c>
      <c r="C56" s="4">
        <v>45334.50708333333</v>
      </c>
      <c r="D56" s="5">
        <f t="shared" si="0"/>
        <v>45334</v>
      </c>
      <c r="E56" s="3">
        <f t="shared" si="1"/>
        <v>12</v>
      </c>
      <c r="F56" s="1" t="str" cm="1">
        <f t="array" ref="F56">_xlfn.IFS(
E56&lt;11,"Morning",
E56&lt;15,"Afternoon",
TRUE,"Evening"
)</f>
        <v>Afternoon</v>
      </c>
      <c r="G56" s="3" t="str">
        <f t="shared" si="2"/>
        <v>Mon</v>
      </c>
      <c r="H56" s="1" t="s">
        <v>159</v>
      </c>
      <c r="I56" s="1" t="s">
        <v>778</v>
      </c>
      <c r="J56" s="1" t="s">
        <v>131</v>
      </c>
      <c r="K56" s="1" t="str">
        <f>_xlfn.XLOOKUP($J56, items_clean!$A:$A, items_clean!$B:$B, "")</f>
        <v>CDR-ICT-LG</v>
      </c>
      <c r="L56" s="1" t="str">
        <f>_xlfn.XLOOKUP($J56, items_clean!$A:$A, items_clean!$C:$C, "")</f>
        <v>Iced Tea</v>
      </c>
      <c r="M56" s="1" t="str">
        <f>_xlfn.XLOOKUP($J56, items_clean!$A:$A, items_clean!$D:$D, "")</f>
        <v>Cold Drinks</v>
      </c>
      <c r="N56" s="1" t="str">
        <f>_xlfn.XLOOKUP($J56, items_clean!$A:$A, items_clean!$E:$E, "")</f>
        <v>Large</v>
      </c>
      <c r="O56" s="3">
        <v>1</v>
      </c>
      <c r="P56" s="2">
        <f>_xlfn.XLOOKUP($J56, items_clean!$A:$A, items_clean!$F:$F, "")</f>
        <v>3.55</v>
      </c>
      <c r="Q56" s="2">
        <f t="shared" si="3"/>
        <v>3.55</v>
      </c>
      <c r="R56" s="7">
        <f>_xlfn.XLOOKUP(K56, recipe_cost!$A:$A, recipe_cost!$B:$B, "")</f>
        <v>0.26984999999999998</v>
      </c>
      <c r="S56" s="10">
        <f t="shared" si="4"/>
        <v>0.26984999999999998</v>
      </c>
      <c r="T56" s="10">
        <f t="shared" si="5"/>
        <v>3.2801499999999999</v>
      </c>
      <c r="U56" s="9">
        <f t="shared" si="6"/>
        <v>0.92398591549295772</v>
      </c>
    </row>
    <row r="57" spans="1:21" x14ac:dyDescent="0.3">
      <c r="A57" s="1">
        <v>56</v>
      </c>
      <c r="B57" s="1" t="s">
        <v>205</v>
      </c>
      <c r="C57" s="4">
        <v>45334.507673611108</v>
      </c>
      <c r="D57" s="5">
        <f t="shared" si="0"/>
        <v>45334</v>
      </c>
      <c r="E57" s="3">
        <f t="shared" si="1"/>
        <v>12</v>
      </c>
      <c r="F57" s="1" t="str" cm="1">
        <f t="array" ref="F57">_xlfn.IFS(
E57&lt;11,"Morning",
E57&lt;15,"Afternoon",
TRUE,"Evening"
)</f>
        <v>Afternoon</v>
      </c>
      <c r="G57" s="3" t="str">
        <f t="shared" si="2"/>
        <v>Mon</v>
      </c>
      <c r="H57" s="1" t="s">
        <v>161</v>
      </c>
      <c r="I57" s="1" t="s">
        <v>146</v>
      </c>
      <c r="J57" s="1" t="s">
        <v>108</v>
      </c>
      <c r="K57" s="1" t="str">
        <f>_xlfn.XLOOKUP($J57, items_clean!$A:$A, items_clean!$B:$B, "")</f>
        <v>HDR-CRM-MD</v>
      </c>
      <c r="L57" s="1" t="str">
        <f>_xlfn.XLOOKUP($J57, items_clean!$A:$A, items_clean!$C:$C, "")</f>
        <v>Caramel Macchiato</v>
      </c>
      <c r="M57" s="1" t="str">
        <f>_xlfn.XLOOKUP($J57, items_clean!$A:$A, items_clean!$D:$D, "")</f>
        <v>Hot Drinks</v>
      </c>
      <c r="N57" s="1" t="str">
        <f>_xlfn.XLOOKUP($J57, items_clean!$A:$A, items_clean!$E:$E, "")</f>
        <v>Medium</v>
      </c>
      <c r="O57" s="3">
        <v>1</v>
      </c>
      <c r="P57" s="2">
        <f>_xlfn.XLOOKUP($J57, items_clean!$A:$A, items_clean!$F:$F, "")</f>
        <v>4.2</v>
      </c>
      <c r="Q57" s="2">
        <f t="shared" si="3"/>
        <v>4.2</v>
      </c>
      <c r="R57" s="7">
        <f>_xlfn.XLOOKUP(K57, recipe_cost!$A:$A, recipe_cost!$B:$B, "")</f>
        <v>0.4098</v>
      </c>
      <c r="S57" s="10">
        <f t="shared" si="4"/>
        <v>0.4098</v>
      </c>
      <c r="T57" s="10">
        <f t="shared" si="5"/>
        <v>3.7902</v>
      </c>
      <c r="U57" s="9">
        <f t="shared" si="6"/>
        <v>0.90242857142857136</v>
      </c>
    </row>
    <row r="58" spans="1:21" x14ac:dyDescent="0.3">
      <c r="A58" s="1">
        <v>57</v>
      </c>
      <c r="B58" s="1" t="s">
        <v>205</v>
      </c>
      <c r="C58" s="4">
        <v>45334.507673611108</v>
      </c>
      <c r="D58" s="5">
        <f t="shared" si="0"/>
        <v>45334</v>
      </c>
      <c r="E58" s="3">
        <f t="shared" si="1"/>
        <v>12</v>
      </c>
      <c r="F58" s="1" t="str" cm="1">
        <f t="array" ref="F58">_xlfn.IFS(
E58&lt;11,"Morning",
E58&lt;15,"Afternoon",
TRUE,"Evening"
)</f>
        <v>Afternoon</v>
      </c>
      <c r="G58" s="3" t="str">
        <f t="shared" si="2"/>
        <v>Mon</v>
      </c>
      <c r="H58" s="1" t="s">
        <v>161</v>
      </c>
      <c r="I58" s="1" t="s">
        <v>778</v>
      </c>
      <c r="J58" s="1" t="s">
        <v>128</v>
      </c>
      <c r="K58" s="1" t="str">
        <f>_xlfn.XLOOKUP($J58, items_clean!$A:$A, items_clean!$B:$B, "")</f>
        <v>CDR-CMO-LG</v>
      </c>
      <c r="L58" s="1" t="str">
        <f>_xlfn.XLOOKUP($J58, items_clean!$A:$A, items_clean!$C:$C, "")</f>
        <v>Cold Mocha</v>
      </c>
      <c r="M58" s="1" t="str">
        <f>_xlfn.XLOOKUP($J58, items_clean!$A:$A, items_clean!$D:$D, "")</f>
        <v>Cold Drinks</v>
      </c>
      <c r="N58" s="1" t="str">
        <f>_xlfn.XLOOKUP($J58, items_clean!$A:$A, items_clean!$E:$E, "")</f>
        <v>Large</v>
      </c>
      <c r="O58" s="3">
        <v>1</v>
      </c>
      <c r="P58" s="2">
        <f>_xlfn.XLOOKUP($J58, items_clean!$A:$A, items_clean!$F:$F, "")</f>
        <v>4.5999999999999996</v>
      </c>
      <c r="Q58" s="2">
        <f t="shared" si="3"/>
        <v>4.5999999999999996</v>
      </c>
      <c r="R58" s="7">
        <f>_xlfn.XLOOKUP(K58, recipe_cost!$A:$A, recipe_cost!$B:$B, "")</f>
        <v>0.56669999999999998</v>
      </c>
      <c r="S58" s="10">
        <f t="shared" si="4"/>
        <v>0.56669999999999998</v>
      </c>
      <c r="T58" s="10">
        <f t="shared" si="5"/>
        <v>4.0332999999999997</v>
      </c>
      <c r="U58" s="9">
        <f t="shared" si="6"/>
        <v>0.87680434782608696</v>
      </c>
    </row>
    <row r="59" spans="1:21" x14ac:dyDescent="0.3">
      <c r="A59" s="1">
        <v>58</v>
      </c>
      <c r="B59" s="1" t="s">
        <v>206</v>
      </c>
      <c r="C59" s="4">
        <v>45334.51121527778</v>
      </c>
      <c r="D59" s="5">
        <f t="shared" si="0"/>
        <v>45334</v>
      </c>
      <c r="E59" s="3">
        <f t="shared" si="1"/>
        <v>12</v>
      </c>
      <c r="F59" s="1" t="str" cm="1">
        <f t="array" ref="F59">_xlfn.IFS(
E59&lt;11,"Morning",
E59&lt;15,"Afternoon",
TRUE,"Evening"
)</f>
        <v>Afternoon</v>
      </c>
      <c r="G59" s="3" t="str">
        <f t="shared" si="2"/>
        <v>Mon</v>
      </c>
      <c r="H59" s="1" t="s">
        <v>163</v>
      </c>
      <c r="I59" s="1" t="s">
        <v>149</v>
      </c>
      <c r="J59" s="1" t="s">
        <v>135</v>
      </c>
      <c r="K59" s="1" t="str">
        <f>_xlfn.XLOOKUP($J59, items_clean!$A:$A, items_clean!$B:$B, "")</f>
        <v>SNK-SHC</v>
      </c>
      <c r="L59" s="1" t="str">
        <f>_xlfn.XLOOKUP($J59, items_clean!$A:$A, items_clean!$C:$C, "")</f>
        <v>Sandwich Ham&amp;Cheese</v>
      </c>
      <c r="M59" s="1" t="str">
        <f>_xlfn.XLOOKUP($J59, items_clean!$A:$A, items_clean!$D:$D, "")</f>
        <v>Snacks</v>
      </c>
      <c r="N59" s="1" t="str">
        <f>_xlfn.XLOOKUP($J59, items_clean!$A:$A, items_clean!$E:$E, "")</f>
        <v>N/A</v>
      </c>
      <c r="O59" s="3">
        <v>1</v>
      </c>
      <c r="P59" s="2">
        <f>_xlfn.XLOOKUP($J59, items_clean!$A:$A, items_clean!$F:$F, "")</f>
        <v>5.6</v>
      </c>
      <c r="Q59" s="2">
        <f t="shared" si="3"/>
        <v>5.6</v>
      </c>
      <c r="R59" s="7">
        <f>_xlfn.XLOOKUP(K59, recipe_cost!$A:$A, recipe_cost!$B:$B, "")</f>
        <v>2.0105</v>
      </c>
      <c r="S59" s="10">
        <f t="shared" si="4"/>
        <v>2.0105</v>
      </c>
      <c r="T59" s="10">
        <f t="shared" si="5"/>
        <v>3.5894999999999997</v>
      </c>
      <c r="U59" s="9">
        <f t="shared" si="6"/>
        <v>0.64098214285714283</v>
      </c>
    </row>
    <row r="60" spans="1:21" x14ac:dyDescent="0.3">
      <c r="A60" s="1">
        <v>59</v>
      </c>
      <c r="B60" s="1" t="s">
        <v>206</v>
      </c>
      <c r="C60" s="4">
        <v>45334.51121527778</v>
      </c>
      <c r="D60" s="5">
        <f t="shared" si="0"/>
        <v>45334</v>
      </c>
      <c r="E60" s="3">
        <f t="shared" si="1"/>
        <v>12</v>
      </c>
      <c r="F60" s="1" t="str" cm="1">
        <f t="array" ref="F60">_xlfn.IFS(
E60&lt;11,"Morning",
E60&lt;15,"Afternoon",
TRUE,"Evening"
)</f>
        <v>Afternoon</v>
      </c>
      <c r="G60" s="3" t="str">
        <f t="shared" si="2"/>
        <v>Mon</v>
      </c>
      <c r="H60" s="1" t="s">
        <v>163</v>
      </c>
      <c r="I60" s="1" t="s">
        <v>778</v>
      </c>
      <c r="J60" s="1" t="s">
        <v>116</v>
      </c>
      <c r="K60" s="1" t="str">
        <f>_xlfn.XLOOKUP($J60, items_clean!$A:$A, items_clean!$B:$B, "")</f>
        <v>HDR-WMO-MD</v>
      </c>
      <c r="L60" s="1" t="str">
        <f>_xlfn.XLOOKUP($J60, items_clean!$A:$A, items_clean!$C:$C, "")</f>
        <v>White Mocha</v>
      </c>
      <c r="M60" s="1" t="str">
        <f>_xlfn.XLOOKUP($J60, items_clean!$A:$A, items_clean!$D:$D, "")</f>
        <v>Hot Drinks</v>
      </c>
      <c r="N60" s="1" t="str">
        <f>_xlfn.XLOOKUP($J60, items_clean!$A:$A, items_clean!$E:$E, "")</f>
        <v>Medium</v>
      </c>
      <c r="O60" s="3">
        <v>1</v>
      </c>
      <c r="P60" s="2">
        <f>_xlfn.XLOOKUP($J60, items_clean!$A:$A, items_clean!$F:$F, "")</f>
        <v>4.5</v>
      </c>
      <c r="Q60" s="2">
        <f t="shared" si="3"/>
        <v>4.5</v>
      </c>
      <c r="R60" s="7">
        <f>_xlfn.XLOOKUP(K60, recipe_cost!$A:$A, recipe_cost!$B:$B, "")</f>
        <v>0.4098</v>
      </c>
      <c r="S60" s="10">
        <f t="shared" si="4"/>
        <v>0.4098</v>
      </c>
      <c r="T60" s="10">
        <f t="shared" si="5"/>
        <v>4.0902000000000003</v>
      </c>
      <c r="U60" s="9">
        <f t="shared" si="6"/>
        <v>0.90893333333333337</v>
      </c>
    </row>
    <row r="61" spans="1:21" x14ac:dyDescent="0.3">
      <c r="A61" s="1">
        <v>60</v>
      </c>
      <c r="B61" s="1" t="s">
        <v>207</v>
      </c>
      <c r="C61" s="4">
        <v>45334.512662037036</v>
      </c>
      <c r="D61" s="5">
        <f t="shared" si="0"/>
        <v>45334</v>
      </c>
      <c r="E61" s="3">
        <f t="shared" si="1"/>
        <v>12</v>
      </c>
      <c r="F61" s="1" t="str" cm="1">
        <f t="array" ref="F61">_xlfn.IFS(
E61&lt;11,"Morning",
E61&lt;15,"Afternoon",
TRUE,"Evening"
)</f>
        <v>Afternoon</v>
      </c>
      <c r="G61" s="3" t="str">
        <f t="shared" si="2"/>
        <v>Mon</v>
      </c>
      <c r="H61" s="1" t="s">
        <v>151</v>
      </c>
      <c r="I61" s="1" t="s">
        <v>146</v>
      </c>
      <c r="J61" s="1" t="s">
        <v>104</v>
      </c>
      <c r="K61" s="1" t="str">
        <f>_xlfn.XLOOKUP($J61, items_clean!$A:$A, items_clean!$B:$B, "")</f>
        <v>HDR-LAT-LG</v>
      </c>
      <c r="L61" s="1" t="str">
        <f>_xlfn.XLOOKUP($J61, items_clean!$A:$A, items_clean!$C:$C, "")</f>
        <v>Latte</v>
      </c>
      <c r="M61" s="1" t="str">
        <f>_xlfn.XLOOKUP($J61, items_clean!$A:$A, items_clean!$D:$D, "")</f>
        <v>Hot Drinks</v>
      </c>
      <c r="N61" s="1" t="str">
        <f>_xlfn.XLOOKUP($J61, items_clean!$A:$A, items_clean!$E:$E, "")</f>
        <v>Large</v>
      </c>
      <c r="O61" s="3">
        <v>1</v>
      </c>
      <c r="P61" s="2">
        <f>_xlfn.XLOOKUP($J61, items_clean!$A:$A, items_clean!$F:$F, "")</f>
        <v>3.75</v>
      </c>
      <c r="Q61" s="2">
        <f t="shared" si="3"/>
        <v>3.75</v>
      </c>
      <c r="R61" s="7">
        <f>_xlfn.XLOOKUP(K61, recipe_cost!$A:$A, recipe_cost!$B:$B, "")</f>
        <v>0.33599999999999997</v>
      </c>
      <c r="S61" s="10">
        <f t="shared" si="4"/>
        <v>0.33599999999999997</v>
      </c>
      <c r="T61" s="10">
        <f t="shared" si="5"/>
        <v>3.4140000000000001</v>
      </c>
      <c r="U61" s="9">
        <f t="shared" si="6"/>
        <v>0.91039999999999999</v>
      </c>
    </row>
    <row r="62" spans="1:21" x14ac:dyDescent="0.3">
      <c r="A62" s="1">
        <v>61</v>
      </c>
      <c r="B62" s="1" t="s">
        <v>208</v>
      </c>
      <c r="C62" s="4">
        <v>45334.51489583333</v>
      </c>
      <c r="D62" s="5">
        <f t="shared" si="0"/>
        <v>45334</v>
      </c>
      <c r="E62" s="3">
        <f t="shared" si="1"/>
        <v>12</v>
      </c>
      <c r="F62" s="1" t="str" cm="1">
        <f t="array" ref="F62">_xlfn.IFS(
E62&lt;11,"Morning",
E62&lt;15,"Afternoon",
TRUE,"Evening"
)</f>
        <v>Afternoon</v>
      </c>
      <c r="G62" s="3" t="str">
        <f t="shared" si="2"/>
        <v>Mon</v>
      </c>
      <c r="H62" s="1" t="s">
        <v>155</v>
      </c>
      <c r="I62" s="1" t="s">
        <v>146</v>
      </c>
      <c r="J62" s="1" t="s">
        <v>134</v>
      </c>
      <c r="K62" s="1" t="str">
        <f>_xlfn.XLOOKUP($J62, items_clean!$A:$A, items_clean!$B:$B, "")</f>
        <v>CDR-LMN-LG</v>
      </c>
      <c r="L62" s="1" t="str">
        <f>_xlfn.XLOOKUP($J62, items_clean!$A:$A, items_clean!$C:$C, "")</f>
        <v>Lemonade</v>
      </c>
      <c r="M62" s="1" t="str">
        <f>_xlfn.XLOOKUP($J62, items_clean!$A:$A, items_clean!$D:$D, "")</f>
        <v>Cold Drinks</v>
      </c>
      <c r="N62" s="1" t="str">
        <f>_xlfn.XLOOKUP($J62, items_clean!$A:$A, items_clean!$E:$E, "")</f>
        <v>Large</v>
      </c>
      <c r="O62" s="3">
        <v>1</v>
      </c>
      <c r="P62" s="2">
        <f>_xlfn.XLOOKUP($J62, items_clean!$A:$A, items_clean!$F:$F, "")</f>
        <v>3.75</v>
      </c>
      <c r="Q62" s="2">
        <f t="shared" si="3"/>
        <v>3.75</v>
      </c>
      <c r="R62" s="7">
        <f>_xlfn.XLOOKUP(K62, recipe_cost!$A:$A, recipe_cost!$B:$B, "")</f>
        <v>0.36</v>
      </c>
      <c r="S62" s="10">
        <f t="shared" si="4"/>
        <v>0.36</v>
      </c>
      <c r="T62" s="10">
        <f t="shared" si="5"/>
        <v>3.39</v>
      </c>
      <c r="U62" s="9">
        <f t="shared" si="6"/>
        <v>0.90400000000000003</v>
      </c>
    </row>
    <row r="63" spans="1:21" x14ac:dyDescent="0.3">
      <c r="A63" s="1">
        <v>62</v>
      </c>
      <c r="B63" s="1" t="s">
        <v>209</v>
      </c>
      <c r="C63" s="4">
        <v>45334.516423611109</v>
      </c>
      <c r="D63" s="5">
        <f t="shared" si="0"/>
        <v>45334</v>
      </c>
      <c r="E63" s="3">
        <f t="shared" si="1"/>
        <v>12</v>
      </c>
      <c r="F63" s="1" t="str" cm="1">
        <f t="array" ref="F63">_xlfn.IFS(
E63&lt;11,"Morning",
E63&lt;15,"Afternoon",
TRUE,"Evening"
)</f>
        <v>Afternoon</v>
      </c>
      <c r="G63" s="3" t="str">
        <f t="shared" si="2"/>
        <v>Mon</v>
      </c>
      <c r="H63" s="1" t="s">
        <v>159</v>
      </c>
      <c r="I63" s="1" t="s">
        <v>146</v>
      </c>
      <c r="J63" s="1" t="s">
        <v>128</v>
      </c>
      <c r="K63" s="1" t="str">
        <f>_xlfn.XLOOKUP($J63, items_clean!$A:$A, items_clean!$B:$B, "")</f>
        <v>CDR-CMO-LG</v>
      </c>
      <c r="L63" s="1" t="str">
        <f>_xlfn.XLOOKUP($J63, items_clean!$A:$A, items_clean!$C:$C, "")</f>
        <v>Cold Mocha</v>
      </c>
      <c r="M63" s="1" t="str">
        <f>_xlfn.XLOOKUP($J63, items_clean!$A:$A, items_clean!$D:$D, "")</f>
        <v>Cold Drinks</v>
      </c>
      <c r="N63" s="1" t="str">
        <f>_xlfn.XLOOKUP($J63, items_clean!$A:$A, items_clean!$E:$E, "")</f>
        <v>Large</v>
      </c>
      <c r="O63" s="3">
        <v>1</v>
      </c>
      <c r="P63" s="2">
        <f>_xlfn.XLOOKUP($J63, items_clean!$A:$A, items_clean!$F:$F, "")</f>
        <v>4.5999999999999996</v>
      </c>
      <c r="Q63" s="2">
        <f t="shared" si="3"/>
        <v>4.5999999999999996</v>
      </c>
      <c r="R63" s="7">
        <f>_xlfn.XLOOKUP(K63, recipe_cost!$A:$A, recipe_cost!$B:$B, "")</f>
        <v>0.56669999999999998</v>
      </c>
      <c r="S63" s="10">
        <f t="shared" si="4"/>
        <v>0.56669999999999998</v>
      </c>
      <c r="T63" s="10">
        <f t="shared" si="5"/>
        <v>4.0332999999999997</v>
      </c>
      <c r="U63" s="9">
        <f t="shared" si="6"/>
        <v>0.87680434782608696</v>
      </c>
    </row>
    <row r="64" spans="1:21" x14ac:dyDescent="0.3">
      <c r="A64" s="1">
        <v>63</v>
      </c>
      <c r="B64" s="1" t="s">
        <v>210</v>
      </c>
      <c r="C64" s="4">
        <v>45334.518113425926</v>
      </c>
      <c r="D64" s="5">
        <f t="shared" si="0"/>
        <v>45334</v>
      </c>
      <c r="E64" s="3">
        <f t="shared" si="1"/>
        <v>12</v>
      </c>
      <c r="F64" s="1" t="str" cm="1">
        <f t="array" ref="F64">_xlfn.IFS(
E64&lt;11,"Morning",
E64&lt;15,"Afternoon",
TRUE,"Evening"
)</f>
        <v>Afternoon</v>
      </c>
      <c r="G64" s="3" t="str">
        <f t="shared" si="2"/>
        <v>Mon</v>
      </c>
      <c r="H64" s="1" t="s">
        <v>145</v>
      </c>
      <c r="I64" s="1" t="s">
        <v>149</v>
      </c>
      <c r="J64" s="1" t="s">
        <v>126</v>
      </c>
      <c r="K64" s="1" t="str">
        <f>_xlfn.XLOOKUP($J64, items_clean!$A:$A, items_clean!$B:$B, "")</f>
        <v>CDR-CMO-MD</v>
      </c>
      <c r="L64" s="1" t="str">
        <f>_xlfn.XLOOKUP($J64, items_clean!$A:$A, items_clean!$C:$C, "")</f>
        <v>Cold Mocha</v>
      </c>
      <c r="M64" s="1" t="str">
        <f>_xlfn.XLOOKUP($J64, items_clean!$A:$A, items_clean!$D:$D, "")</f>
        <v>Cold Drinks</v>
      </c>
      <c r="N64" s="1" t="str">
        <f>_xlfn.XLOOKUP($J64, items_clean!$A:$A, items_clean!$E:$E, "")</f>
        <v>Medium</v>
      </c>
      <c r="O64" s="3">
        <v>1</v>
      </c>
      <c r="P64" s="2">
        <f>_xlfn.XLOOKUP($J64, items_clean!$A:$A, items_clean!$F:$F, "")</f>
        <v>4</v>
      </c>
      <c r="Q64" s="2">
        <f t="shared" si="3"/>
        <v>4</v>
      </c>
      <c r="R64" s="7">
        <f>_xlfn.XLOOKUP(K64, recipe_cost!$A:$A, recipe_cost!$B:$B, "")</f>
        <v>0.4098</v>
      </c>
      <c r="S64" s="10">
        <f t="shared" si="4"/>
        <v>0.4098</v>
      </c>
      <c r="T64" s="10">
        <f t="shared" si="5"/>
        <v>3.5901999999999998</v>
      </c>
      <c r="U64" s="9">
        <f t="shared" si="6"/>
        <v>0.89754999999999996</v>
      </c>
    </row>
    <row r="65" spans="1:21" x14ac:dyDescent="0.3">
      <c r="A65" s="1">
        <v>64</v>
      </c>
      <c r="B65" s="1" t="s">
        <v>211</v>
      </c>
      <c r="C65" s="4">
        <v>45334.520335648151</v>
      </c>
      <c r="D65" s="5">
        <f t="shared" si="0"/>
        <v>45334</v>
      </c>
      <c r="E65" s="3">
        <f t="shared" si="1"/>
        <v>12</v>
      </c>
      <c r="F65" s="1" t="str" cm="1">
        <f t="array" ref="F65">_xlfn.IFS(
E65&lt;11,"Morning",
E65&lt;15,"Afternoon",
TRUE,"Evening"
)</f>
        <v>Afternoon</v>
      </c>
      <c r="G65" s="3" t="str">
        <f t="shared" si="2"/>
        <v>Mon</v>
      </c>
      <c r="H65" s="1" t="s">
        <v>153</v>
      </c>
      <c r="I65" s="1" t="s">
        <v>146</v>
      </c>
      <c r="J65" s="1" t="s">
        <v>113</v>
      </c>
      <c r="K65" s="1" t="str">
        <f>_xlfn.XLOOKUP($J65, items_clean!$A:$A, items_clean!$B:$B, "")</f>
        <v>HDR-MOC-MD</v>
      </c>
      <c r="L65" s="1" t="str">
        <f>_xlfn.XLOOKUP($J65, items_clean!$A:$A, items_clean!$C:$C, "")</f>
        <v>Mocha</v>
      </c>
      <c r="M65" s="1" t="str">
        <f>_xlfn.XLOOKUP($J65, items_clean!$A:$A, items_clean!$D:$D, "")</f>
        <v>Hot Drinks</v>
      </c>
      <c r="N65" s="1" t="str">
        <f>_xlfn.XLOOKUP($J65, items_clean!$A:$A, items_clean!$E:$E, "")</f>
        <v>Medium</v>
      </c>
      <c r="O65" s="3">
        <v>1</v>
      </c>
      <c r="P65" s="2">
        <f>_xlfn.XLOOKUP($J65, items_clean!$A:$A, items_clean!$F:$F, "")</f>
        <v>4</v>
      </c>
      <c r="Q65" s="2">
        <f t="shared" si="3"/>
        <v>4</v>
      </c>
      <c r="R65" s="7">
        <f>_xlfn.XLOOKUP(K65, recipe_cost!$A:$A, recipe_cost!$B:$B, "")</f>
        <v>0.4098</v>
      </c>
      <c r="S65" s="10">
        <f t="shared" si="4"/>
        <v>0.4098</v>
      </c>
      <c r="T65" s="10">
        <f t="shared" si="5"/>
        <v>3.5901999999999998</v>
      </c>
      <c r="U65" s="9">
        <f t="shared" si="6"/>
        <v>0.89754999999999996</v>
      </c>
    </row>
    <row r="66" spans="1:21" x14ac:dyDescent="0.3">
      <c r="A66" s="1">
        <v>65</v>
      </c>
      <c r="B66" s="1" t="s">
        <v>212</v>
      </c>
      <c r="C66" s="4">
        <v>45334.522557870368</v>
      </c>
      <c r="D66" s="5">
        <f t="shared" si="0"/>
        <v>45334</v>
      </c>
      <c r="E66" s="3">
        <f t="shared" si="1"/>
        <v>12</v>
      </c>
      <c r="F66" s="1" t="str" cm="1">
        <f t="array" ref="F66">_xlfn.IFS(
E66&lt;11,"Morning",
E66&lt;15,"Afternoon",
TRUE,"Evening"
)</f>
        <v>Afternoon</v>
      </c>
      <c r="G66" s="3" t="str">
        <f t="shared" si="2"/>
        <v>Mon</v>
      </c>
      <c r="H66" s="1" t="s">
        <v>167</v>
      </c>
      <c r="I66" s="1" t="s">
        <v>146</v>
      </c>
      <c r="J66" s="1" t="s">
        <v>113</v>
      </c>
      <c r="K66" s="1" t="str">
        <f>_xlfn.XLOOKUP($J66, items_clean!$A:$A, items_clean!$B:$B, "")</f>
        <v>HDR-MOC-MD</v>
      </c>
      <c r="L66" s="1" t="str">
        <f>_xlfn.XLOOKUP($J66, items_clean!$A:$A, items_clean!$C:$C, "")</f>
        <v>Mocha</v>
      </c>
      <c r="M66" s="1" t="str">
        <f>_xlfn.XLOOKUP($J66, items_clean!$A:$A, items_clean!$D:$D, "")</f>
        <v>Hot Drinks</v>
      </c>
      <c r="N66" s="1" t="str">
        <f>_xlfn.XLOOKUP($J66, items_clean!$A:$A, items_clean!$E:$E, "")</f>
        <v>Medium</v>
      </c>
      <c r="O66" s="3">
        <v>1</v>
      </c>
      <c r="P66" s="2">
        <f>_xlfn.XLOOKUP($J66, items_clean!$A:$A, items_clean!$F:$F, "")</f>
        <v>4</v>
      </c>
      <c r="Q66" s="2">
        <f t="shared" si="3"/>
        <v>4</v>
      </c>
      <c r="R66" s="7">
        <f>_xlfn.XLOOKUP(K66, recipe_cost!$A:$A, recipe_cost!$B:$B, "")</f>
        <v>0.4098</v>
      </c>
      <c r="S66" s="10">
        <f t="shared" si="4"/>
        <v>0.4098</v>
      </c>
      <c r="T66" s="10">
        <f t="shared" si="5"/>
        <v>3.5901999999999998</v>
      </c>
      <c r="U66" s="9">
        <f t="shared" si="6"/>
        <v>0.89754999999999996</v>
      </c>
    </row>
    <row r="67" spans="1:21" x14ac:dyDescent="0.3">
      <c r="A67" s="1">
        <v>66</v>
      </c>
      <c r="B67" s="1" t="s">
        <v>213</v>
      </c>
      <c r="C67" s="4">
        <v>45334.524687500001</v>
      </c>
      <c r="D67" s="5">
        <f t="shared" ref="D67:D130" si="7">INT(C67)</f>
        <v>45334</v>
      </c>
      <c r="E67" s="3">
        <f t="shared" ref="E67:E130" si="8">HOUR(C67)</f>
        <v>12</v>
      </c>
      <c r="F67" s="1" t="str" cm="1">
        <f t="array" ref="F67">_xlfn.IFS(
E67&lt;11,"Morning",
E67&lt;15,"Afternoon",
TRUE,"Evening"
)</f>
        <v>Afternoon</v>
      </c>
      <c r="G67" s="3" t="str">
        <f t="shared" ref="G67:G130" si="9">TEXT(C67,"ddd")</f>
        <v>Mon</v>
      </c>
      <c r="H67" s="1" t="s">
        <v>148</v>
      </c>
      <c r="I67" s="1" t="s">
        <v>146</v>
      </c>
      <c r="J67" s="1" t="s">
        <v>118</v>
      </c>
      <c r="K67" s="1" t="str">
        <f>_xlfn.XLOOKUP($J67, items_clean!$A:$A, items_clean!$B:$B, "")</f>
        <v>HDR-WMO-LG</v>
      </c>
      <c r="L67" s="1" t="str">
        <f>_xlfn.XLOOKUP($J67, items_clean!$A:$A, items_clean!$C:$C, "")</f>
        <v>White Mocha</v>
      </c>
      <c r="M67" s="1" t="str">
        <f>_xlfn.XLOOKUP($J67, items_clean!$A:$A, items_clean!$D:$D, "")</f>
        <v>Hot Drinks</v>
      </c>
      <c r="N67" s="1" t="str">
        <f>_xlfn.XLOOKUP($J67, items_clean!$A:$A, items_clean!$E:$E, "")</f>
        <v>Large</v>
      </c>
      <c r="O67" s="3">
        <v>1</v>
      </c>
      <c r="P67" s="2">
        <f>_xlfn.XLOOKUP($J67, items_clean!$A:$A, items_clean!$F:$F, "")</f>
        <v>4.7</v>
      </c>
      <c r="Q67" s="2">
        <f t="shared" ref="Q67:Q130" si="10">O67*P67</f>
        <v>4.7</v>
      </c>
      <c r="R67" s="7">
        <f>_xlfn.XLOOKUP(K67, recipe_cost!$A:$A, recipe_cost!$B:$B, "")</f>
        <v>0.56669999999999998</v>
      </c>
      <c r="S67" s="10">
        <f t="shared" ref="S67:S130" si="11">O67 * R67</f>
        <v>0.56669999999999998</v>
      </c>
      <c r="T67" s="10">
        <f t="shared" ref="T67:T130" si="12">Q67-S67</f>
        <v>4.1333000000000002</v>
      </c>
      <c r="U67" s="9">
        <f t="shared" ref="U67:U130" si="13">IF(Q67=0,"",T67/Q67)</f>
        <v>0.87942553191489359</v>
      </c>
    </row>
    <row r="68" spans="1:21" x14ac:dyDescent="0.3">
      <c r="A68" s="1">
        <v>67</v>
      </c>
      <c r="B68" s="1" t="s">
        <v>214</v>
      </c>
      <c r="C68" s="4">
        <v>45334.526921296296</v>
      </c>
      <c r="D68" s="5">
        <f t="shared" si="7"/>
        <v>45334</v>
      </c>
      <c r="E68" s="3">
        <f t="shared" si="8"/>
        <v>12</v>
      </c>
      <c r="F68" s="1" t="str" cm="1">
        <f t="array" ref="F68">_xlfn.IFS(
E68&lt;11,"Morning",
E68&lt;15,"Afternoon",
TRUE,"Evening"
)</f>
        <v>Afternoon</v>
      </c>
      <c r="G68" s="3" t="str">
        <f t="shared" si="9"/>
        <v>Mon</v>
      </c>
      <c r="H68" s="1" t="s">
        <v>165</v>
      </c>
      <c r="I68" s="1" t="s">
        <v>149</v>
      </c>
      <c r="J68" s="1" t="s">
        <v>105</v>
      </c>
      <c r="K68" s="1" t="str">
        <f>_xlfn.XLOOKUP($J68, items_clean!$A:$A, items_clean!$B:$B, "")</f>
        <v>HDR-FLT</v>
      </c>
      <c r="L68" s="1" t="str">
        <f>_xlfn.XLOOKUP($J68, items_clean!$A:$A, items_clean!$C:$C, "")</f>
        <v>Flat White</v>
      </c>
      <c r="M68" s="1" t="str">
        <f>_xlfn.XLOOKUP($J68, items_clean!$A:$A, items_clean!$D:$D, "")</f>
        <v>Hot Drinks</v>
      </c>
      <c r="N68" s="1" t="str">
        <f>_xlfn.XLOOKUP($J68, items_clean!$A:$A, items_clean!$E:$E, "")</f>
        <v>N/A</v>
      </c>
      <c r="O68" s="3">
        <v>1</v>
      </c>
      <c r="P68" s="2">
        <f>_xlfn.XLOOKUP($J68, items_clean!$A:$A, items_clean!$F:$F, "")</f>
        <v>3.15</v>
      </c>
      <c r="Q68" s="2">
        <f t="shared" si="10"/>
        <v>3.15</v>
      </c>
      <c r="R68" s="7">
        <f>_xlfn.XLOOKUP(K68, recipe_cost!$A:$A, recipe_cost!$B:$B, "")</f>
        <v>0.28799999999999998</v>
      </c>
      <c r="S68" s="10">
        <f t="shared" si="11"/>
        <v>0.28799999999999998</v>
      </c>
      <c r="T68" s="10">
        <f t="shared" si="12"/>
        <v>2.8620000000000001</v>
      </c>
      <c r="U68" s="9">
        <f t="shared" si="13"/>
        <v>0.90857142857142859</v>
      </c>
    </row>
    <row r="69" spans="1:21" x14ac:dyDescent="0.3">
      <c r="A69" s="1">
        <v>68</v>
      </c>
      <c r="B69" s="1" t="s">
        <v>215</v>
      </c>
      <c r="C69" s="4">
        <v>45334.529143518521</v>
      </c>
      <c r="D69" s="5">
        <f t="shared" si="7"/>
        <v>45334</v>
      </c>
      <c r="E69" s="3">
        <f t="shared" si="8"/>
        <v>12</v>
      </c>
      <c r="F69" s="1" t="str" cm="1">
        <f t="array" ref="F69">_xlfn.IFS(
E69&lt;11,"Morning",
E69&lt;15,"Afternoon",
TRUE,"Evening"
)</f>
        <v>Afternoon</v>
      </c>
      <c r="G69" s="3" t="str">
        <f t="shared" si="9"/>
        <v>Mon</v>
      </c>
      <c r="H69" s="1" t="s">
        <v>157</v>
      </c>
      <c r="I69" s="1" t="s">
        <v>146</v>
      </c>
      <c r="J69" s="1" t="s">
        <v>129</v>
      </c>
      <c r="K69" s="1" t="str">
        <f>_xlfn.XLOOKUP($J69, items_clean!$A:$A, items_clean!$B:$B, "")</f>
        <v>CDR-ICT-MD</v>
      </c>
      <c r="L69" s="1" t="str">
        <f>_xlfn.XLOOKUP($J69, items_clean!$A:$A, items_clean!$C:$C, "")</f>
        <v>Iced Tea</v>
      </c>
      <c r="M69" s="1" t="str">
        <f>_xlfn.XLOOKUP($J69, items_clean!$A:$A, items_clean!$D:$D, "")</f>
        <v>Cold Drinks</v>
      </c>
      <c r="N69" s="1" t="str">
        <f>_xlfn.XLOOKUP($J69, items_clean!$A:$A, items_clean!$E:$E, "")</f>
        <v>Medium</v>
      </c>
      <c r="O69" s="3">
        <v>1</v>
      </c>
      <c r="P69" s="2">
        <f>_xlfn.XLOOKUP($J69, items_clean!$A:$A, items_clean!$F:$F, "")</f>
        <v>3.25</v>
      </c>
      <c r="Q69" s="2">
        <f t="shared" si="10"/>
        <v>3.25</v>
      </c>
      <c r="R69" s="7">
        <f>_xlfn.XLOOKUP(K69, recipe_cost!$A:$A, recipe_cost!$B:$B, "")</f>
        <v>0.19</v>
      </c>
      <c r="S69" s="10">
        <f t="shared" si="11"/>
        <v>0.19</v>
      </c>
      <c r="T69" s="10">
        <f t="shared" si="12"/>
        <v>3.06</v>
      </c>
      <c r="U69" s="9">
        <f t="shared" si="13"/>
        <v>0.94153846153846155</v>
      </c>
    </row>
    <row r="70" spans="1:21" x14ac:dyDescent="0.3">
      <c r="A70" s="1">
        <v>69</v>
      </c>
      <c r="B70" s="1" t="s">
        <v>216</v>
      </c>
      <c r="C70" s="4">
        <v>45334.530682870369</v>
      </c>
      <c r="D70" s="5">
        <f t="shared" si="7"/>
        <v>45334</v>
      </c>
      <c r="E70" s="3">
        <f t="shared" si="8"/>
        <v>12</v>
      </c>
      <c r="F70" s="1" t="str" cm="1">
        <f t="array" ref="F70">_xlfn.IFS(
E70&lt;11,"Morning",
E70&lt;15,"Afternoon",
TRUE,"Evening"
)</f>
        <v>Afternoon</v>
      </c>
      <c r="G70" s="3" t="str">
        <f t="shared" si="9"/>
        <v>Mon</v>
      </c>
      <c r="H70" s="1" t="s">
        <v>179</v>
      </c>
      <c r="I70" s="1" t="s">
        <v>149</v>
      </c>
      <c r="J70" s="1" t="s">
        <v>131</v>
      </c>
      <c r="K70" s="1" t="str">
        <f>_xlfn.XLOOKUP($J70, items_clean!$A:$A, items_clean!$B:$B, "")</f>
        <v>CDR-ICT-LG</v>
      </c>
      <c r="L70" s="1" t="str">
        <f>_xlfn.XLOOKUP($J70, items_clean!$A:$A, items_clean!$C:$C, "")</f>
        <v>Iced Tea</v>
      </c>
      <c r="M70" s="1" t="str">
        <f>_xlfn.XLOOKUP($J70, items_clean!$A:$A, items_clean!$D:$D, "")</f>
        <v>Cold Drinks</v>
      </c>
      <c r="N70" s="1" t="str">
        <f>_xlfn.XLOOKUP($J70, items_clean!$A:$A, items_clean!$E:$E, "")</f>
        <v>Large</v>
      </c>
      <c r="O70" s="3">
        <v>1</v>
      </c>
      <c r="P70" s="2">
        <f>_xlfn.XLOOKUP($J70, items_clean!$A:$A, items_clean!$F:$F, "")</f>
        <v>3.55</v>
      </c>
      <c r="Q70" s="2">
        <f t="shared" si="10"/>
        <v>3.55</v>
      </c>
      <c r="R70" s="7">
        <f>_xlfn.XLOOKUP(K70, recipe_cost!$A:$A, recipe_cost!$B:$B, "")</f>
        <v>0.26984999999999998</v>
      </c>
      <c r="S70" s="10">
        <f t="shared" si="11"/>
        <v>0.26984999999999998</v>
      </c>
      <c r="T70" s="10">
        <f t="shared" si="12"/>
        <v>3.2801499999999999</v>
      </c>
      <c r="U70" s="9">
        <f t="shared" si="13"/>
        <v>0.92398591549295772</v>
      </c>
    </row>
    <row r="71" spans="1:21" x14ac:dyDescent="0.3">
      <c r="A71" s="1">
        <v>70</v>
      </c>
      <c r="B71" s="1" t="s">
        <v>217</v>
      </c>
      <c r="C71" s="4">
        <v>45334.532916666663</v>
      </c>
      <c r="D71" s="5">
        <f t="shared" si="7"/>
        <v>45334</v>
      </c>
      <c r="E71" s="3">
        <f t="shared" si="8"/>
        <v>12</v>
      </c>
      <c r="F71" s="1" t="str" cm="1">
        <f t="array" ref="F71">_xlfn.IFS(
E71&lt;11,"Morning",
E71&lt;15,"Afternoon",
TRUE,"Evening"
)</f>
        <v>Afternoon</v>
      </c>
      <c r="G71" s="3" t="str">
        <f t="shared" si="9"/>
        <v>Mon</v>
      </c>
      <c r="H71" s="1" t="s">
        <v>161</v>
      </c>
      <c r="I71" s="1" t="s">
        <v>146</v>
      </c>
      <c r="J71" s="1" t="s">
        <v>132</v>
      </c>
      <c r="K71" s="1" t="str">
        <f>_xlfn.XLOOKUP($J71, items_clean!$A:$A, items_clean!$B:$B, "")</f>
        <v>CDR-LMN-MD</v>
      </c>
      <c r="L71" s="1" t="str">
        <f>_xlfn.XLOOKUP($J71, items_clean!$A:$A, items_clean!$C:$C, "")</f>
        <v>Lemonade</v>
      </c>
      <c r="M71" s="1" t="str">
        <f>_xlfn.XLOOKUP($J71, items_clean!$A:$A, items_clean!$D:$D, "")</f>
        <v>Cold Drinks</v>
      </c>
      <c r="N71" s="1" t="str">
        <f>_xlfn.XLOOKUP($J71, items_clean!$A:$A, items_clean!$E:$E, "")</f>
        <v>Medium</v>
      </c>
      <c r="O71" s="3">
        <v>1</v>
      </c>
      <c r="P71" s="2">
        <f>_xlfn.XLOOKUP($J71, items_clean!$A:$A, items_clean!$F:$F, "")</f>
        <v>3.35</v>
      </c>
      <c r="Q71" s="2">
        <f t="shared" si="10"/>
        <v>3.35</v>
      </c>
      <c r="R71" s="7">
        <f>_xlfn.XLOOKUP(K71, recipe_cost!$A:$A, recipe_cost!$B:$B, "")</f>
        <v>0.34499999999999997</v>
      </c>
      <c r="S71" s="10">
        <f t="shared" si="11"/>
        <v>0.34499999999999997</v>
      </c>
      <c r="T71" s="10">
        <f t="shared" si="12"/>
        <v>3.0049999999999999</v>
      </c>
      <c r="U71" s="9">
        <f t="shared" si="13"/>
        <v>0.89701492537313432</v>
      </c>
    </row>
    <row r="72" spans="1:21" x14ac:dyDescent="0.3">
      <c r="A72" s="1">
        <v>71</v>
      </c>
      <c r="B72" s="1" t="s">
        <v>218</v>
      </c>
      <c r="C72" s="4">
        <v>45334.535150462965</v>
      </c>
      <c r="D72" s="5">
        <f t="shared" si="7"/>
        <v>45334</v>
      </c>
      <c r="E72" s="3">
        <f t="shared" si="8"/>
        <v>12</v>
      </c>
      <c r="F72" s="1" t="str" cm="1">
        <f t="array" ref="F72">_xlfn.IFS(
E72&lt;11,"Morning",
E72&lt;15,"Afternoon",
TRUE,"Evening"
)</f>
        <v>Afternoon</v>
      </c>
      <c r="G72" s="3" t="str">
        <f t="shared" si="9"/>
        <v>Mon</v>
      </c>
      <c r="H72" s="1" t="s">
        <v>219</v>
      </c>
      <c r="I72" s="1" t="s">
        <v>149</v>
      </c>
      <c r="J72" s="1" t="s">
        <v>121</v>
      </c>
      <c r="K72" s="1" t="str">
        <f>_xlfn.XLOOKUP($J72, items_clean!$A:$A, items_clean!$B:$B, "")</f>
        <v>HDR-HCH-LG</v>
      </c>
      <c r="L72" s="1" t="str">
        <f>_xlfn.XLOOKUP($J72, items_clean!$A:$A, items_clean!$C:$C, "")</f>
        <v>Hot Chocolate</v>
      </c>
      <c r="M72" s="1" t="str">
        <f>_xlfn.XLOOKUP($J72, items_clean!$A:$A, items_clean!$D:$D, "")</f>
        <v>Hot Drinks</v>
      </c>
      <c r="N72" s="1" t="str">
        <f>_xlfn.XLOOKUP($J72, items_clean!$A:$A, items_clean!$E:$E, "")</f>
        <v>Large</v>
      </c>
      <c r="O72" s="3">
        <v>1</v>
      </c>
      <c r="P72" s="2">
        <f>_xlfn.XLOOKUP($J72, items_clean!$A:$A, items_clean!$F:$F, "")</f>
        <v>4.5999999999999996</v>
      </c>
      <c r="Q72" s="2">
        <f t="shared" si="10"/>
        <v>4.5999999999999996</v>
      </c>
      <c r="R72" s="7">
        <f>_xlfn.XLOOKUP(K72, recipe_cost!$A:$A, recipe_cost!$B:$B, "")</f>
        <v>1.4809999999999999</v>
      </c>
      <c r="S72" s="10">
        <f t="shared" si="11"/>
        <v>1.4809999999999999</v>
      </c>
      <c r="T72" s="10">
        <f t="shared" si="12"/>
        <v>3.1189999999999998</v>
      </c>
      <c r="U72" s="9">
        <f t="shared" si="13"/>
        <v>0.67804347826086953</v>
      </c>
    </row>
    <row r="73" spans="1:21" x14ac:dyDescent="0.3">
      <c r="A73" s="1">
        <v>72</v>
      </c>
      <c r="B73" s="1" t="s">
        <v>220</v>
      </c>
      <c r="C73" s="4">
        <v>45334.537372685183</v>
      </c>
      <c r="D73" s="5">
        <f t="shared" si="7"/>
        <v>45334</v>
      </c>
      <c r="E73" s="3">
        <f t="shared" si="8"/>
        <v>12</v>
      </c>
      <c r="F73" s="1" t="str" cm="1">
        <f t="array" ref="F73">_xlfn.IFS(
E73&lt;11,"Morning",
E73&lt;15,"Afternoon",
TRUE,"Evening"
)</f>
        <v>Afternoon</v>
      </c>
      <c r="G73" s="3" t="str">
        <f t="shared" si="9"/>
        <v>Mon</v>
      </c>
      <c r="H73" s="1" t="s">
        <v>163</v>
      </c>
      <c r="I73" s="1" t="s">
        <v>146</v>
      </c>
      <c r="J73" s="1" t="s">
        <v>125</v>
      </c>
      <c r="K73" s="1" t="str">
        <f>_xlfn.XLOOKUP($J73, items_clean!$A:$A, items_clean!$B:$B, "")</f>
        <v>CDR-CCF-LG</v>
      </c>
      <c r="L73" s="1" t="str">
        <f>_xlfn.XLOOKUP($J73, items_clean!$A:$A, items_clean!$C:$C, "")</f>
        <v>Cold Coffee</v>
      </c>
      <c r="M73" s="1" t="str">
        <f>_xlfn.XLOOKUP($J73, items_clean!$A:$A, items_clean!$D:$D, "")</f>
        <v>Cold Drinks</v>
      </c>
      <c r="N73" s="1" t="str">
        <f>_xlfn.XLOOKUP($J73, items_clean!$A:$A, items_clean!$E:$E, "")</f>
        <v>Large</v>
      </c>
      <c r="O73" s="3">
        <v>1</v>
      </c>
      <c r="P73" s="2">
        <f>_xlfn.XLOOKUP($J73, items_clean!$A:$A, items_clean!$F:$F, "")</f>
        <v>3.75</v>
      </c>
      <c r="Q73" s="2">
        <f t="shared" si="10"/>
        <v>3.75</v>
      </c>
      <c r="R73" s="7">
        <f>_xlfn.XLOOKUP(K73, recipe_cost!$A:$A, recipe_cost!$B:$B, "")</f>
        <v>0.33599999999999997</v>
      </c>
      <c r="S73" s="10">
        <f t="shared" si="11"/>
        <v>0.33599999999999997</v>
      </c>
      <c r="T73" s="10">
        <f t="shared" si="12"/>
        <v>3.4140000000000001</v>
      </c>
      <c r="U73" s="9">
        <f t="shared" si="13"/>
        <v>0.91039999999999999</v>
      </c>
    </row>
    <row r="74" spans="1:21" x14ac:dyDescent="0.3">
      <c r="A74" s="1">
        <v>73</v>
      </c>
      <c r="B74" s="1" t="s">
        <v>221</v>
      </c>
      <c r="C74" s="4">
        <v>45334.5390625</v>
      </c>
      <c r="D74" s="5">
        <f t="shared" si="7"/>
        <v>45334</v>
      </c>
      <c r="E74" s="3">
        <f t="shared" si="8"/>
        <v>12</v>
      </c>
      <c r="F74" s="1" t="str" cm="1">
        <f t="array" ref="F74">_xlfn.IFS(
E74&lt;11,"Morning",
E74&lt;15,"Afternoon",
TRUE,"Evening"
)</f>
        <v>Afternoon</v>
      </c>
      <c r="G74" s="3" t="str">
        <f t="shared" si="9"/>
        <v>Mon</v>
      </c>
      <c r="H74" s="1" t="s">
        <v>151</v>
      </c>
      <c r="I74" s="1" t="s">
        <v>146</v>
      </c>
      <c r="J74" s="1" t="s">
        <v>135</v>
      </c>
      <c r="K74" s="1" t="str">
        <f>_xlfn.XLOOKUP($J74, items_clean!$A:$A, items_clean!$B:$B, "")</f>
        <v>SNK-SHC</v>
      </c>
      <c r="L74" s="1" t="str">
        <f>_xlfn.XLOOKUP($J74, items_clean!$A:$A, items_clean!$C:$C, "")</f>
        <v>Sandwich Ham&amp;Cheese</v>
      </c>
      <c r="M74" s="1" t="str">
        <f>_xlfn.XLOOKUP($J74, items_clean!$A:$A, items_clean!$D:$D, "")</f>
        <v>Snacks</v>
      </c>
      <c r="N74" s="1" t="str">
        <f>_xlfn.XLOOKUP($J74, items_clean!$A:$A, items_clean!$E:$E, "")</f>
        <v>N/A</v>
      </c>
      <c r="O74" s="3">
        <v>1</v>
      </c>
      <c r="P74" s="2">
        <f>_xlfn.XLOOKUP($J74, items_clean!$A:$A, items_clean!$F:$F, "")</f>
        <v>5.6</v>
      </c>
      <c r="Q74" s="2">
        <f t="shared" si="10"/>
        <v>5.6</v>
      </c>
      <c r="R74" s="7">
        <f>_xlfn.XLOOKUP(K74, recipe_cost!$A:$A, recipe_cost!$B:$B, "")</f>
        <v>2.0105</v>
      </c>
      <c r="S74" s="10">
        <f t="shared" si="11"/>
        <v>2.0105</v>
      </c>
      <c r="T74" s="10">
        <f t="shared" si="12"/>
        <v>3.5894999999999997</v>
      </c>
      <c r="U74" s="9">
        <f t="shared" si="13"/>
        <v>0.64098214285714283</v>
      </c>
    </row>
    <row r="75" spans="1:21" x14ac:dyDescent="0.3">
      <c r="A75" s="1">
        <v>74</v>
      </c>
      <c r="B75" s="1" t="s">
        <v>222</v>
      </c>
      <c r="C75" s="4">
        <v>45334.541296296295</v>
      </c>
      <c r="D75" s="5">
        <f t="shared" si="7"/>
        <v>45334</v>
      </c>
      <c r="E75" s="3">
        <f t="shared" si="8"/>
        <v>12</v>
      </c>
      <c r="F75" s="1" t="str" cm="1">
        <f t="array" ref="F75">_xlfn.IFS(
E75&lt;11,"Morning",
E75&lt;15,"Afternoon",
TRUE,"Evening"
)</f>
        <v>Afternoon</v>
      </c>
      <c r="G75" s="3" t="str">
        <f t="shared" si="9"/>
        <v>Mon</v>
      </c>
      <c r="H75" s="1" t="s">
        <v>155</v>
      </c>
      <c r="I75" s="1" t="s">
        <v>146</v>
      </c>
      <c r="J75" s="1" t="s">
        <v>131</v>
      </c>
      <c r="K75" s="1" t="str">
        <f>_xlfn.XLOOKUP($J75, items_clean!$A:$A, items_clean!$B:$B, "")</f>
        <v>CDR-ICT-LG</v>
      </c>
      <c r="L75" s="1" t="str">
        <f>_xlfn.XLOOKUP($J75, items_clean!$A:$A, items_clean!$C:$C, "")</f>
        <v>Iced Tea</v>
      </c>
      <c r="M75" s="1" t="str">
        <f>_xlfn.XLOOKUP($J75, items_clean!$A:$A, items_clean!$D:$D, "")</f>
        <v>Cold Drinks</v>
      </c>
      <c r="N75" s="1" t="str">
        <f>_xlfn.XLOOKUP($J75, items_clean!$A:$A, items_clean!$E:$E, "")</f>
        <v>Large</v>
      </c>
      <c r="O75" s="3">
        <v>1</v>
      </c>
      <c r="P75" s="2">
        <f>_xlfn.XLOOKUP($J75, items_clean!$A:$A, items_clean!$F:$F, "")</f>
        <v>3.55</v>
      </c>
      <c r="Q75" s="2">
        <f t="shared" si="10"/>
        <v>3.55</v>
      </c>
      <c r="R75" s="7">
        <f>_xlfn.XLOOKUP(K75, recipe_cost!$A:$A, recipe_cost!$B:$B, "")</f>
        <v>0.26984999999999998</v>
      </c>
      <c r="S75" s="10">
        <f t="shared" si="11"/>
        <v>0.26984999999999998</v>
      </c>
      <c r="T75" s="10">
        <f t="shared" si="12"/>
        <v>3.2801499999999999</v>
      </c>
      <c r="U75" s="9">
        <f t="shared" si="13"/>
        <v>0.92398591549295772</v>
      </c>
    </row>
    <row r="76" spans="1:21" x14ac:dyDescent="0.3">
      <c r="A76" s="1">
        <v>75</v>
      </c>
      <c r="B76" s="1" t="s">
        <v>223</v>
      </c>
      <c r="C76" s="4">
        <v>45334.543541666666</v>
      </c>
      <c r="D76" s="5">
        <f t="shared" si="7"/>
        <v>45334</v>
      </c>
      <c r="E76" s="3">
        <f t="shared" si="8"/>
        <v>13</v>
      </c>
      <c r="F76" s="1" t="str" cm="1">
        <f t="array" ref="F76">_xlfn.IFS(
E76&lt;11,"Morning",
E76&lt;15,"Afternoon",
TRUE,"Evening"
)</f>
        <v>Afternoon</v>
      </c>
      <c r="G76" s="3" t="str">
        <f t="shared" si="9"/>
        <v>Mon</v>
      </c>
      <c r="H76" s="1" t="s">
        <v>159</v>
      </c>
      <c r="I76" s="1" t="s">
        <v>149</v>
      </c>
      <c r="J76" s="1" t="s">
        <v>119</v>
      </c>
      <c r="K76" s="1" t="str">
        <f>_xlfn.XLOOKUP($J76, items_clean!$A:$A, items_clean!$B:$B, "")</f>
        <v>HDR-HCH-MD</v>
      </c>
      <c r="L76" s="1" t="str">
        <f>_xlfn.XLOOKUP($J76, items_clean!$A:$A, items_clean!$C:$C, "")</f>
        <v>Hot Chocolate</v>
      </c>
      <c r="M76" s="1" t="str">
        <f>_xlfn.XLOOKUP($J76, items_clean!$A:$A, items_clean!$D:$D, "")</f>
        <v>Hot Drinks</v>
      </c>
      <c r="N76" s="1" t="str">
        <f>_xlfn.XLOOKUP($J76, items_clean!$A:$A, items_clean!$E:$E, "")</f>
        <v>Medium</v>
      </c>
      <c r="O76" s="3">
        <v>1</v>
      </c>
      <c r="P76" s="2">
        <f>_xlfn.XLOOKUP($J76, items_clean!$A:$A, items_clean!$F:$F, "")</f>
        <v>4.2</v>
      </c>
      <c r="Q76" s="2">
        <f t="shared" si="10"/>
        <v>4.2</v>
      </c>
      <c r="R76" s="7">
        <f>_xlfn.XLOOKUP(K76, recipe_cost!$A:$A, recipe_cost!$B:$B, "")</f>
        <v>1.0509999999999999</v>
      </c>
      <c r="S76" s="10">
        <f t="shared" si="11"/>
        <v>1.0509999999999999</v>
      </c>
      <c r="T76" s="10">
        <f t="shared" si="12"/>
        <v>3.149</v>
      </c>
      <c r="U76" s="9">
        <f t="shared" si="13"/>
        <v>0.74976190476190474</v>
      </c>
    </row>
    <row r="77" spans="1:21" x14ac:dyDescent="0.3">
      <c r="A77" s="1">
        <v>76</v>
      </c>
      <c r="B77" s="1" t="s">
        <v>224</v>
      </c>
      <c r="C77" s="4">
        <v>45334.545763888891</v>
      </c>
      <c r="D77" s="5">
        <f t="shared" si="7"/>
        <v>45334</v>
      </c>
      <c r="E77" s="3">
        <f t="shared" si="8"/>
        <v>13</v>
      </c>
      <c r="F77" s="1" t="str" cm="1">
        <f t="array" ref="F77">_xlfn.IFS(
E77&lt;11,"Morning",
E77&lt;15,"Afternoon",
TRUE,"Evening"
)</f>
        <v>Afternoon</v>
      </c>
      <c r="G77" s="3" t="str">
        <f t="shared" si="9"/>
        <v>Mon</v>
      </c>
      <c r="H77" s="1" t="s">
        <v>145</v>
      </c>
      <c r="I77" s="1" t="s">
        <v>146</v>
      </c>
      <c r="J77" s="1" t="s">
        <v>96</v>
      </c>
      <c r="K77" s="1" t="str">
        <f>_xlfn.XLOOKUP($J77, items_clean!$A:$A, items_clean!$B:$B, "")</f>
        <v>HDR-CAP-MD</v>
      </c>
      <c r="L77" s="1" t="str">
        <f>_xlfn.XLOOKUP($J77, items_clean!$A:$A, items_clean!$C:$C, "")</f>
        <v>Cappuccino</v>
      </c>
      <c r="M77" s="1" t="str">
        <f>_xlfn.XLOOKUP($J77, items_clean!$A:$A, items_clean!$D:$D, "")</f>
        <v>Hot Drinks</v>
      </c>
      <c r="N77" s="1" t="str">
        <f>_xlfn.XLOOKUP($J77, items_clean!$A:$A, items_clean!$E:$E, "")</f>
        <v>Medium</v>
      </c>
      <c r="O77" s="3">
        <v>1</v>
      </c>
      <c r="P77" s="2">
        <f>_xlfn.XLOOKUP($J77, items_clean!$A:$A, items_clean!$F:$F, "")</f>
        <v>3.45</v>
      </c>
      <c r="Q77" s="2">
        <f t="shared" si="10"/>
        <v>3.45</v>
      </c>
      <c r="R77" s="7">
        <f>_xlfn.XLOOKUP(K77, recipe_cost!$A:$A, recipe_cost!$B:$B, "")</f>
        <v>0.252</v>
      </c>
      <c r="S77" s="10">
        <f t="shared" si="11"/>
        <v>0.252</v>
      </c>
      <c r="T77" s="10">
        <f t="shared" si="12"/>
        <v>3.1980000000000004</v>
      </c>
      <c r="U77" s="9">
        <f t="shared" si="13"/>
        <v>0.92695652173913046</v>
      </c>
    </row>
    <row r="78" spans="1:21" x14ac:dyDescent="0.3">
      <c r="A78" s="1">
        <v>77</v>
      </c>
      <c r="B78" s="1" t="s">
        <v>225</v>
      </c>
      <c r="C78" s="4">
        <v>45334.547291666669</v>
      </c>
      <c r="D78" s="5">
        <f t="shared" si="7"/>
        <v>45334</v>
      </c>
      <c r="E78" s="3">
        <f t="shared" si="8"/>
        <v>13</v>
      </c>
      <c r="F78" s="1" t="str" cm="1">
        <f t="array" ref="F78">_xlfn.IFS(
E78&lt;11,"Morning",
E78&lt;15,"Afternoon",
TRUE,"Evening"
)</f>
        <v>Afternoon</v>
      </c>
      <c r="G78" s="3" t="str">
        <f t="shared" si="9"/>
        <v>Mon</v>
      </c>
      <c r="H78" s="1" t="s">
        <v>153</v>
      </c>
      <c r="I78" s="1" t="s">
        <v>149</v>
      </c>
      <c r="J78" s="1" t="s">
        <v>102</v>
      </c>
      <c r="K78" s="1" t="str">
        <f>_xlfn.XLOOKUP($J78, items_clean!$A:$A, items_clean!$B:$B, "")</f>
        <v>HDR-LAT-MD</v>
      </c>
      <c r="L78" s="1" t="str">
        <f>_xlfn.XLOOKUP($J78, items_clean!$A:$A, items_clean!$C:$C, "")</f>
        <v>Latte</v>
      </c>
      <c r="M78" s="1" t="str">
        <f>_xlfn.XLOOKUP($J78, items_clean!$A:$A, items_clean!$D:$D, "")</f>
        <v>Hot Drinks</v>
      </c>
      <c r="N78" s="1" t="str">
        <f>_xlfn.XLOOKUP($J78, items_clean!$A:$A, items_clean!$E:$E, "")</f>
        <v>Medium</v>
      </c>
      <c r="O78" s="3">
        <v>1</v>
      </c>
      <c r="P78" s="2">
        <f>_xlfn.XLOOKUP($J78, items_clean!$A:$A, items_clean!$F:$F, "")</f>
        <v>3.45</v>
      </c>
      <c r="Q78" s="2">
        <f t="shared" si="10"/>
        <v>3.45</v>
      </c>
      <c r="R78" s="7">
        <f>_xlfn.XLOOKUP(K78, recipe_cost!$A:$A, recipe_cost!$B:$B, "")</f>
        <v>0.252</v>
      </c>
      <c r="S78" s="10">
        <f t="shared" si="11"/>
        <v>0.252</v>
      </c>
      <c r="T78" s="10">
        <f t="shared" si="12"/>
        <v>3.1980000000000004</v>
      </c>
      <c r="U78" s="9">
        <f t="shared" si="13"/>
        <v>0.92695652173913046</v>
      </c>
    </row>
    <row r="79" spans="1:21" x14ac:dyDescent="0.3">
      <c r="A79" s="1">
        <v>78</v>
      </c>
      <c r="B79" s="1" t="s">
        <v>226</v>
      </c>
      <c r="C79" s="4">
        <v>45334.549525462964</v>
      </c>
      <c r="D79" s="5">
        <f t="shared" si="7"/>
        <v>45334</v>
      </c>
      <c r="E79" s="3">
        <f t="shared" si="8"/>
        <v>13</v>
      </c>
      <c r="F79" s="1" t="str" cm="1">
        <f t="array" ref="F79">_xlfn.IFS(
E79&lt;11,"Morning",
E79&lt;15,"Afternoon",
TRUE,"Evening"
)</f>
        <v>Afternoon</v>
      </c>
      <c r="G79" s="3" t="str">
        <f t="shared" si="9"/>
        <v>Mon</v>
      </c>
      <c r="H79" s="1" t="s">
        <v>167</v>
      </c>
      <c r="I79" s="1" t="s">
        <v>146</v>
      </c>
      <c r="J79" s="1" t="s">
        <v>111</v>
      </c>
      <c r="K79" s="1" t="str">
        <f>_xlfn.XLOOKUP($J79, items_clean!$A:$A, items_clean!$B:$B, "")</f>
        <v>HDR-ESP</v>
      </c>
      <c r="L79" s="1" t="str">
        <f>_xlfn.XLOOKUP($J79, items_clean!$A:$A, items_clean!$C:$C, "")</f>
        <v>Espresso</v>
      </c>
      <c r="M79" s="1" t="str">
        <f>_xlfn.XLOOKUP($J79, items_clean!$A:$A, items_clean!$D:$D, "")</f>
        <v>Hot Drinks</v>
      </c>
      <c r="N79" s="1" t="str">
        <f>_xlfn.XLOOKUP($J79, items_clean!$A:$A, items_clean!$E:$E, "")</f>
        <v>N/A</v>
      </c>
      <c r="O79" s="3">
        <v>1</v>
      </c>
      <c r="P79" s="2">
        <f>_xlfn.XLOOKUP($J79, items_clean!$A:$A, items_clean!$F:$F, "")</f>
        <v>2.15</v>
      </c>
      <c r="Q79" s="2">
        <f t="shared" si="10"/>
        <v>2.15</v>
      </c>
      <c r="R79" s="7">
        <f>_xlfn.XLOOKUP(K79, recipe_cost!$A:$A, recipe_cost!$B:$B, "")</f>
        <v>9.6000000000000002E-2</v>
      </c>
      <c r="S79" s="10">
        <f t="shared" si="11"/>
        <v>9.6000000000000002E-2</v>
      </c>
      <c r="T79" s="10">
        <f t="shared" si="12"/>
        <v>2.0539999999999998</v>
      </c>
      <c r="U79" s="9">
        <f t="shared" si="13"/>
        <v>0.9553488372093023</v>
      </c>
    </row>
    <row r="80" spans="1:21" x14ac:dyDescent="0.3">
      <c r="A80" s="1">
        <v>79</v>
      </c>
      <c r="B80" s="1" t="s">
        <v>227</v>
      </c>
      <c r="C80" s="4">
        <v>45334.551053240742</v>
      </c>
      <c r="D80" s="5">
        <f t="shared" si="7"/>
        <v>45334</v>
      </c>
      <c r="E80" s="3">
        <f t="shared" si="8"/>
        <v>13</v>
      </c>
      <c r="F80" s="1" t="str" cm="1">
        <f t="array" ref="F80">_xlfn.IFS(
E80&lt;11,"Morning",
E80&lt;15,"Afternoon",
TRUE,"Evening"
)</f>
        <v>Afternoon</v>
      </c>
      <c r="G80" s="3" t="str">
        <f t="shared" si="9"/>
        <v>Mon</v>
      </c>
      <c r="H80" s="1" t="s">
        <v>179</v>
      </c>
      <c r="I80" s="1" t="s">
        <v>149</v>
      </c>
      <c r="J80" s="1" t="s">
        <v>100</v>
      </c>
      <c r="K80" s="1" t="str">
        <f>_xlfn.XLOOKUP($J80, items_clean!$A:$A, items_clean!$B:$B, "")</f>
        <v>HDR-CAP-LG</v>
      </c>
      <c r="L80" s="1" t="str">
        <f>_xlfn.XLOOKUP($J80, items_clean!$A:$A, items_clean!$C:$C, "")</f>
        <v>Cappuccino</v>
      </c>
      <c r="M80" s="1" t="str">
        <f>_xlfn.XLOOKUP($J80, items_clean!$A:$A, items_clean!$D:$D, "")</f>
        <v>Hot Drinks</v>
      </c>
      <c r="N80" s="1" t="str">
        <f>_xlfn.XLOOKUP($J80, items_clean!$A:$A, items_clean!$E:$E, "")</f>
        <v>Large</v>
      </c>
      <c r="O80" s="3">
        <v>1</v>
      </c>
      <c r="P80" s="2">
        <f>_xlfn.XLOOKUP($J80, items_clean!$A:$A, items_clean!$F:$F, "")</f>
        <v>3.75</v>
      </c>
      <c r="Q80" s="2">
        <f t="shared" si="10"/>
        <v>3.75</v>
      </c>
      <c r="R80" s="7">
        <f>_xlfn.XLOOKUP(K80, recipe_cost!$A:$A, recipe_cost!$B:$B, "")</f>
        <v>0.33599999999999997</v>
      </c>
      <c r="S80" s="10">
        <f t="shared" si="11"/>
        <v>0.33599999999999997</v>
      </c>
      <c r="T80" s="10">
        <f t="shared" si="12"/>
        <v>3.4140000000000001</v>
      </c>
      <c r="U80" s="9">
        <f t="shared" si="13"/>
        <v>0.91039999999999999</v>
      </c>
    </row>
    <row r="81" spans="1:21" x14ac:dyDescent="0.3">
      <c r="A81" s="1">
        <v>80</v>
      </c>
      <c r="B81" s="1" t="s">
        <v>227</v>
      </c>
      <c r="C81" s="4">
        <v>45334.551192129627</v>
      </c>
      <c r="D81" s="5">
        <f t="shared" si="7"/>
        <v>45334</v>
      </c>
      <c r="E81" s="3">
        <f t="shared" si="8"/>
        <v>13</v>
      </c>
      <c r="F81" s="1" t="str" cm="1">
        <f t="array" ref="F81">_xlfn.IFS(
E81&lt;11,"Morning",
E81&lt;15,"Afternoon",
TRUE,"Evening"
)</f>
        <v>Afternoon</v>
      </c>
      <c r="G81" s="3" t="str">
        <f t="shared" si="9"/>
        <v>Mon</v>
      </c>
      <c r="H81" s="1" t="s">
        <v>179</v>
      </c>
      <c r="I81" s="1" t="s">
        <v>778</v>
      </c>
      <c r="J81" s="1" t="s">
        <v>110</v>
      </c>
      <c r="K81" s="1" t="str">
        <f>_xlfn.XLOOKUP($J81, items_clean!$A:$A, items_clean!$B:$B, "")</f>
        <v>HDR-CRM-LG</v>
      </c>
      <c r="L81" s="1" t="str">
        <f>_xlfn.XLOOKUP($J81, items_clean!$A:$A, items_clean!$C:$C, "")</f>
        <v>Caramel Macchiato</v>
      </c>
      <c r="M81" s="1" t="str">
        <f>_xlfn.XLOOKUP($J81, items_clean!$A:$A, items_clean!$D:$D, "")</f>
        <v>Hot Drinks</v>
      </c>
      <c r="N81" s="1" t="str">
        <f>_xlfn.XLOOKUP($J81, items_clean!$A:$A, items_clean!$E:$E, "")</f>
        <v>Large</v>
      </c>
      <c r="O81" s="3">
        <v>1</v>
      </c>
      <c r="P81" s="2">
        <f>_xlfn.XLOOKUP($J81, items_clean!$A:$A, items_clean!$F:$F, "")</f>
        <v>4.5999999999999996</v>
      </c>
      <c r="Q81" s="2">
        <f t="shared" si="10"/>
        <v>4.5999999999999996</v>
      </c>
      <c r="R81" s="7">
        <f>_xlfn.XLOOKUP(K81, recipe_cost!$A:$A, recipe_cost!$B:$B, "")</f>
        <v>0.56669999999999998</v>
      </c>
      <c r="S81" s="10">
        <f t="shared" si="11"/>
        <v>0.56669999999999998</v>
      </c>
      <c r="T81" s="10">
        <f t="shared" si="12"/>
        <v>4.0332999999999997</v>
      </c>
      <c r="U81" s="9">
        <f t="shared" si="13"/>
        <v>0.87680434782608696</v>
      </c>
    </row>
    <row r="82" spans="1:21" x14ac:dyDescent="0.3">
      <c r="A82" s="1">
        <v>81</v>
      </c>
      <c r="B82" s="1" t="s">
        <v>228</v>
      </c>
      <c r="C82" s="4">
        <v>45334.552731481483</v>
      </c>
      <c r="D82" s="5">
        <f t="shared" si="7"/>
        <v>45334</v>
      </c>
      <c r="E82" s="3">
        <f t="shared" si="8"/>
        <v>13</v>
      </c>
      <c r="F82" s="1" t="str" cm="1">
        <f t="array" ref="F82">_xlfn.IFS(
E82&lt;11,"Morning",
E82&lt;15,"Afternoon",
TRUE,"Evening"
)</f>
        <v>Afternoon</v>
      </c>
      <c r="G82" s="3" t="str">
        <f t="shared" si="9"/>
        <v>Mon</v>
      </c>
      <c r="H82" s="1" t="s">
        <v>148</v>
      </c>
      <c r="I82" s="1" t="s">
        <v>146</v>
      </c>
      <c r="J82" s="1" t="s">
        <v>129</v>
      </c>
      <c r="K82" s="1" t="str">
        <f>_xlfn.XLOOKUP($J82, items_clean!$A:$A, items_clean!$B:$B, "")</f>
        <v>CDR-ICT-MD</v>
      </c>
      <c r="L82" s="1" t="str">
        <f>_xlfn.XLOOKUP($J82, items_clean!$A:$A, items_clean!$C:$C, "")</f>
        <v>Iced Tea</v>
      </c>
      <c r="M82" s="1" t="str">
        <f>_xlfn.XLOOKUP($J82, items_clean!$A:$A, items_clean!$D:$D, "")</f>
        <v>Cold Drinks</v>
      </c>
      <c r="N82" s="1" t="str">
        <f>_xlfn.XLOOKUP($J82, items_clean!$A:$A, items_clean!$E:$E, "")</f>
        <v>Medium</v>
      </c>
      <c r="O82" s="3">
        <v>1</v>
      </c>
      <c r="P82" s="2">
        <f>_xlfn.XLOOKUP($J82, items_clean!$A:$A, items_clean!$F:$F, "")</f>
        <v>3.25</v>
      </c>
      <c r="Q82" s="2">
        <f t="shared" si="10"/>
        <v>3.25</v>
      </c>
      <c r="R82" s="7">
        <f>_xlfn.XLOOKUP(K82, recipe_cost!$A:$A, recipe_cost!$B:$B, "")</f>
        <v>0.19</v>
      </c>
      <c r="S82" s="10">
        <f t="shared" si="11"/>
        <v>0.19</v>
      </c>
      <c r="T82" s="10">
        <f t="shared" si="12"/>
        <v>3.06</v>
      </c>
      <c r="U82" s="9">
        <f t="shared" si="13"/>
        <v>0.94153846153846155</v>
      </c>
    </row>
    <row r="83" spans="1:21" x14ac:dyDescent="0.3">
      <c r="A83" s="1">
        <v>82</v>
      </c>
      <c r="B83" s="1" t="s">
        <v>229</v>
      </c>
      <c r="C83" s="4">
        <v>45334.553564814814</v>
      </c>
      <c r="D83" s="5">
        <f t="shared" si="7"/>
        <v>45334</v>
      </c>
      <c r="E83" s="3">
        <f t="shared" si="8"/>
        <v>13</v>
      </c>
      <c r="F83" s="1" t="str" cm="1">
        <f t="array" ref="F83">_xlfn.IFS(
E83&lt;11,"Morning",
E83&lt;15,"Afternoon",
TRUE,"Evening"
)</f>
        <v>Afternoon</v>
      </c>
      <c r="G83" s="3" t="str">
        <f t="shared" si="9"/>
        <v>Mon</v>
      </c>
      <c r="H83" s="1" t="s">
        <v>219</v>
      </c>
      <c r="I83" s="1" t="s">
        <v>146</v>
      </c>
      <c r="J83" s="1" t="s">
        <v>132</v>
      </c>
      <c r="K83" s="1" t="str">
        <f>_xlfn.XLOOKUP($J83, items_clean!$A:$A, items_clean!$B:$B, "")</f>
        <v>CDR-LMN-MD</v>
      </c>
      <c r="L83" s="1" t="str">
        <f>_xlfn.XLOOKUP($J83, items_clean!$A:$A, items_clean!$C:$C, "")</f>
        <v>Lemonade</v>
      </c>
      <c r="M83" s="1" t="str">
        <f>_xlfn.XLOOKUP($J83, items_clean!$A:$A, items_clean!$D:$D, "")</f>
        <v>Cold Drinks</v>
      </c>
      <c r="N83" s="1" t="str">
        <f>_xlfn.XLOOKUP($J83, items_clean!$A:$A, items_clean!$E:$E, "")</f>
        <v>Medium</v>
      </c>
      <c r="O83" s="3">
        <v>1</v>
      </c>
      <c r="P83" s="2">
        <f>_xlfn.XLOOKUP($J83, items_clean!$A:$A, items_clean!$F:$F, "")</f>
        <v>3.35</v>
      </c>
      <c r="Q83" s="2">
        <f t="shared" si="10"/>
        <v>3.35</v>
      </c>
      <c r="R83" s="7">
        <f>_xlfn.XLOOKUP(K83, recipe_cost!$A:$A, recipe_cost!$B:$B, "")</f>
        <v>0.34499999999999997</v>
      </c>
      <c r="S83" s="10">
        <f t="shared" si="11"/>
        <v>0.34499999999999997</v>
      </c>
      <c r="T83" s="10">
        <f t="shared" si="12"/>
        <v>3.0049999999999999</v>
      </c>
      <c r="U83" s="9">
        <f t="shared" si="13"/>
        <v>0.89701492537313432</v>
      </c>
    </row>
    <row r="84" spans="1:21" x14ac:dyDescent="0.3">
      <c r="A84" s="1">
        <v>83</v>
      </c>
      <c r="B84" s="1" t="s">
        <v>229</v>
      </c>
      <c r="C84" s="4">
        <v>45334.553564814814</v>
      </c>
      <c r="D84" s="5">
        <f t="shared" si="7"/>
        <v>45334</v>
      </c>
      <c r="E84" s="3">
        <f t="shared" si="8"/>
        <v>13</v>
      </c>
      <c r="F84" s="1" t="str" cm="1">
        <f t="array" ref="F84">_xlfn.IFS(
E84&lt;11,"Morning",
E84&lt;15,"Afternoon",
TRUE,"Evening"
)</f>
        <v>Afternoon</v>
      </c>
      <c r="G84" s="3" t="str">
        <f t="shared" si="9"/>
        <v>Mon</v>
      </c>
      <c r="H84" s="1" t="s">
        <v>219</v>
      </c>
      <c r="I84" s="1" t="s">
        <v>778</v>
      </c>
      <c r="J84" s="1" t="s">
        <v>105</v>
      </c>
      <c r="K84" s="1" t="str">
        <f>_xlfn.XLOOKUP($J84, items_clean!$A:$A, items_clean!$B:$B, "")</f>
        <v>HDR-FLT</v>
      </c>
      <c r="L84" s="1" t="str">
        <f>_xlfn.XLOOKUP($J84, items_clean!$A:$A, items_clean!$C:$C, "")</f>
        <v>Flat White</v>
      </c>
      <c r="M84" s="1" t="str">
        <f>_xlfn.XLOOKUP($J84, items_clean!$A:$A, items_clean!$D:$D, "")</f>
        <v>Hot Drinks</v>
      </c>
      <c r="N84" s="1" t="str">
        <f>_xlfn.XLOOKUP($J84, items_clean!$A:$A, items_clean!$E:$E, "")</f>
        <v>N/A</v>
      </c>
      <c r="O84" s="3">
        <v>1</v>
      </c>
      <c r="P84" s="2">
        <f>_xlfn.XLOOKUP($J84, items_clean!$A:$A, items_clean!$F:$F, "")</f>
        <v>3.15</v>
      </c>
      <c r="Q84" s="2">
        <f t="shared" si="10"/>
        <v>3.15</v>
      </c>
      <c r="R84" s="7">
        <f>_xlfn.XLOOKUP(K84, recipe_cost!$A:$A, recipe_cost!$B:$B, "")</f>
        <v>0.28799999999999998</v>
      </c>
      <c r="S84" s="10">
        <f t="shared" si="11"/>
        <v>0.28799999999999998</v>
      </c>
      <c r="T84" s="10">
        <f t="shared" si="12"/>
        <v>2.8620000000000001</v>
      </c>
      <c r="U84" s="9">
        <f t="shared" si="13"/>
        <v>0.90857142857142859</v>
      </c>
    </row>
    <row r="85" spans="1:21" x14ac:dyDescent="0.3">
      <c r="A85" s="1">
        <v>84</v>
      </c>
      <c r="B85" s="1" t="s">
        <v>229</v>
      </c>
      <c r="C85" s="4">
        <v>45334.553564814814</v>
      </c>
      <c r="D85" s="5">
        <f t="shared" si="7"/>
        <v>45334</v>
      </c>
      <c r="E85" s="3">
        <f t="shared" si="8"/>
        <v>13</v>
      </c>
      <c r="F85" s="1" t="str" cm="1">
        <f t="array" ref="F85">_xlfn.IFS(
E85&lt;11,"Morning",
E85&lt;15,"Afternoon",
TRUE,"Evening"
)</f>
        <v>Afternoon</v>
      </c>
      <c r="G85" s="3" t="str">
        <f t="shared" si="9"/>
        <v>Mon</v>
      </c>
      <c r="H85" s="1" t="s">
        <v>219</v>
      </c>
      <c r="I85" s="1" t="s">
        <v>778</v>
      </c>
      <c r="J85" s="1" t="s">
        <v>121</v>
      </c>
      <c r="K85" s="1" t="str">
        <f>_xlfn.XLOOKUP($J85, items_clean!$A:$A, items_clean!$B:$B, "")</f>
        <v>HDR-HCH-LG</v>
      </c>
      <c r="L85" s="1" t="str">
        <f>_xlfn.XLOOKUP($J85, items_clean!$A:$A, items_clean!$C:$C, "")</f>
        <v>Hot Chocolate</v>
      </c>
      <c r="M85" s="1" t="str">
        <f>_xlfn.XLOOKUP($J85, items_clean!$A:$A, items_clean!$D:$D, "")</f>
        <v>Hot Drinks</v>
      </c>
      <c r="N85" s="1" t="str">
        <f>_xlfn.XLOOKUP($J85, items_clean!$A:$A, items_clean!$E:$E, "")</f>
        <v>Large</v>
      </c>
      <c r="O85" s="3">
        <v>1</v>
      </c>
      <c r="P85" s="2">
        <f>_xlfn.XLOOKUP($J85, items_clean!$A:$A, items_clean!$F:$F, "")</f>
        <v>4.5999999999999996</v>
      </c>
      <c r="Q85" s="2">
        <f t="shared" si="10"/>
        <v>4.5999999999999996</v>
      </c>
      <c r="R85" s="7">
        <f>_xlfn.XLOOKUP(K85, recipe_cost!$A:$A, recipe_cost!$B:$B, "")</f>
        <v>1.4809999999999999</v>
      </c>
      <c r="S85" s="10">
        <f t="shared" si="11"/>
        <v>1.4809999999999999</v>
      </c>
      <c r="T85" s="10">
        <f t="shared" si="12"/>
        <v>3.1189999999999998</v>
      </c>
      <c r="U85" s="9">
        <f t="shared" si="13"/>
        <v>0.67804347826086953</v>
      </c>
    </row>
    <row r="86" spans="1:21" x14ac:dyDescent="0.3">
      <c r="A86" s="1">
        <v>85</v>
      </c>
      <c r="B86" s="1" t="s">
        <v>230</v>
      </c>
      <c r="C86" s="4">
        <v>45334.55609953704</v>
      </c>
      <c r="D86" s="5">
        <f t="shared" si="7"/>
        <v>45334</v>
      </c>
      <c r="E86" s="3">
        <f t="shared" si="8"/>
        <v>13</v>
      </c>
      <c r="F86" s="1" t="str" cm="1">
        <f t="array" ref="F86">_xlfn.IFS(
E86&lt;11,"Morning",
E86&lt;15,"Afternoon",
TRUE,"Evening"
)</f>
        <v>Afternoon</v>
      </c>
      <c r="G86" s="3" t="str">
        <f t="shared" si="9"/>
        <v>Mon</v>
      </c>
      <c r="H86" s="1" t="s">
        <v>153</v>
      </c>
      <c r="I86" s="1" t="s">
        <v>149</v>
      </c>
      <c r="J86" s="1" t="s">
        <v>104</v>
      </c>
      <c r="K86" s="1" t="str">
        <f>_xlfn.XLOOKUP($J86, items_clean!$A:$A, items_clean!$B:$B, "")</f>
        <v>HDR-LAT-LG</v>
      </c>
      <c r="L86" s="1" t="str">
        <f>_xlfn.XLOOKUP($J86, items_clean!$A:$A, items_clean!$C:$C, "")</f>
        <v>Latte</v>
      </c>
      <c r="M86" s="1" t="str">
        <f>_xlfn.XLOOKUP($J86, items_clean!$A:$A, items_clean!$D:$D, "")</f>
        <v>Hot Drinks</v>
      </c>
      <c r="N86" s="1" t="str">
        <f>_xlfn.XLOOKUP($J86, items_clean!$A:$A, items_clean!$E:$E, "")</f>
        <v>Large</v>
      </c>
      <c r="O86" s="3">
        <v>1</v>
      </c>
      <c r="P86" s="2">
        <f>_xlfn.XLOOKUP($J86, items_clean!$A:$A, items_clean!$F:$F, "")</f>
        <v>3.75</v>
      </c>
      <c r="Q86" s="2">
        <f t="shared" si="10"/>
        <v>3.75</v>
      </c>
      <c r="R86" s="7">
        <f>_xlfn.XLOOKUP(K86, recipe_cost!$A:$A, recipe_cost!$B:$B, "")</f>
        <v>0.33599999999999997</v>
      </c>
      <c r="S86" s="10">
        <f t="shared" si="11"/>
        <v>0.33599999999999997</v>
      </c>
      <c r="T86" s="10">
        <f t="shared" si="12"/>
        <v>3.4140000000000001</v>
      </c>
      <c r="U86" s="9">
        <f t="shared" si="13"/>
        <v>0.91039999999999999</v>
      </c>
    </row>
    <row r="87" spans="1:21" x14ac:dyDescent="0.3">
      <c r="A87" s="1">
        <v>86</v>
      </c>
      <c r="B87" s="1" t="s">
        <v>230</v>
      </c>
      <c r="C87" s="4">
        <v>45334.55609953704</v>
      </c>
      <c r="D87" s="5">
        <f t="shared" si="7"/>
        <v>45334</v>
      </c>
      <c r="E87" s="3">
        <f t="shared" si="8"/>
        <v>13</v>
      </c>
      <c r="F87" s="1" t="str" cm="1">
        <f t="array" ref="F87">_xlfn.IFS(
E87&lt;11,"Morning",
E87&lt;15,"Afternoon",
TRUE,"Evening"
)</f>
        <v>Afternoon</v>
      </c>
      <c r="G87" s="3" t="str">
        <f t="shared" si="9"/>
        <v>Mon</v>
      </c>
      <c r="H87" s="1" t="s">
        <v>153</v>
      </c>
      <c r="I87" s="1" t="s">
        <v>778</v>
      </c>
      <c r="J87" s="1" t="s">
        <v>102</v>
      </c>
      <c r="K87" s="1" t="str">
        <f>_xlfn.XLOOKUP($J87, items_clean!$A:$A, items_clean!$B:$B, "")</f>
        <v>HDR-LAT-MD</v>
      </c>
      <c r="L87" s="1" t="str">
        <f>_xlfn.XLOOKUP($J87, items_clean!$A:$A, items_clean!$C:$C, "")</f>
        <v>Latte</v>
      </c>
      <c r="M87" s="1" t="str">
        <f>_xlfn.XLOOKUP($J87, items_clean!$A:$A, items_clean!$D:$D, "")</f>
        <v>Hot Drinks</v>
      </c>
      <c r="N87" s="1" t="str">
        <f>_xlfn.XLOOKUP($J87, items_clean!$A:$A, items_clean!$E:$E, "")</f>
        <v>Medium</v>
      </c>
      <c r="O87" s="3">
        <v>1</v>
      </c>
      <c r="P87" s="2">
        <f>_xlfn.XLOOKUP($J87, items_clean!$A:$A, items_clean!$F:$F, "")</f>
        <v>3.45</v>
      </c>
      <c r="Q87" s="2">
        <f t="shared" si="10"/>
        <v>3.45</v>
      </c>
      <c r="R87" s="7">
        <f>_xlfn.XLOOKUP(K87, recipe_cost!$A:$A, recipe_cost!$B:$B, "")</f>
        <v>0.252</v>
      </c>
      <c r="S87" s="10">
        <f t="shared" si="11"/>
        <v>0.252</v>
      </c>
      <c r="T87" s="10">
        <f t="shared" si="12"/>
        <v>3.1980000000000004</v>
      </c>
      <c r="U87" s="9">
        <f t="shared" si="13"/>
        <v>0.92695652173913046</v>
      </c>
    </row>
    <row r="88" spans="1:21" x14ac:dyDescent="0.3">
      <c r="A88" s="1">
        <v>87</v>
      </c>
      <c r="B88" s="1" t="s">
        <v>231</v>
      </c>
      <c r="C88" s="4">
        <v>45334.557083333333</v>
      </c>
      <c r="D88" s="5">
        <f t="shared" si="7"/>
        <v>45334</v>
      </c>
      <c r="E88" s="3">
        <f t="shared" si="8"/>
        <v>13</v>
      </c>
      <c r="F88" s="1" t="str" cm="1">
        <f t="array" ref="F88">_xlfn.IFS(
E88&lt;11,"Morning",
E88&lt;15,"Afternoon",
TRUE,"Evening"
)</f>
        <v>Afternoon</v>
      </c>
      <c r="G88" s="3" t="str">
        <f t="shared" si="9"/>
        <v>Mon</v>
      </c>
      <c r="H88" s="1" t="s">
        <v>151</v>
      </c>
      <c r="I88" s="1" t="s">
        <v>146</v>
      </c>
      <c r="J88" s="1" t="s">
        <v>118</v>
      </c>
      <c r="K88" s="1" t="str">
        <f>_xlfn.XLOOKUP($J88, items_clean!$A:$A, items_clean!$B:$B, "")</f>
        <v>HDR-WMO-LG</v>
      </c>
      <c r="L88" s="1" t="str">
        <f>_xlfn.XLOOKUP($J88, items_clean!$A:$A, items_clean!$C:$C, "")</f>
        <v>White Mocha</v>
      </c>
      <c r="M88" s="1" t="str">
        <f>_xlfn.XLOOKUP($J88, items_clean!$A:$A, items_clean!$D:$D, "")</f>
        <v>Hot Drinks</v>
      </c>
      <c r="N88" s="1" t="str">
        <f>_xlfn.XLOOKUP($J88, items_clean!$A:$A, items_clean!$E:$E, "")</f>
        <v>Large</v>
      </c>
      <c r="O88" s="3">
        <v>1</v>
      </c>
      <c r="P88" s="2">
        <f>_xlfn.XLOOKUP($J88, items_clean!$A:$A, items_clean!$F:$F, "")</f>
        <v>4.7</v>
      </c>
      <c r="Q88" s="2">
        <f t="shared" si="10"/>
        <v>4.7</v>
      </c>
      <c r="R88" s="7">
        <f>_xlfn.XLOOKUP(K88, recipe_cost!$A:$A, recipe_cost!$B:$B, "")</f>
        <v>0.56669999999999998</v>
      </c>
      <c r="S88" s="10">
        <f t="shared" si="11"/>
        <v>0.56669999999999998</v>
      </c>
      <c r="T88" s="10">
        <f t="shared" si="12"/>
        <v>4.1333000000000002</v>
      </c>
      <c r="U88" s="9">
        <f t="shared" si="13"/>
        <v>0.87942553191489359</v>
      </c>
    </row>
    <row r="89" spans="1:21" x14ac:dyDescent="0.3">
      <c r="A89" s="1">
        <v>88</v>
      </c>
      <c r="B89" s="1" t="s">
        <v>231</v>
      </c>
      <c r="C89" s="4">
        <v>45334.557083333333</v>
      </c>
      <c r="D89" s="5">
        <f t="shared" si="7"/>
        <v>45334</v>
      </c>
      <c r="E89" s="3">
        <f t="shared" si="8"/>
        <v>13</v>
      </c>
      <c r="F89" s="1" t="str" cm="1">
        <f t="array" ref="F89">_xlfn.IFS(
E89&lt;11,"Morning",
E89&lt;15,"Afternoon",
TRUE,"Evening"
)</f>
        <v>Afternoon</v>
      </c>
      <c r="G89" s="3" t="str">
        <f t="shared" si="9"/>
        <v>Mon</v>
      </c>
      <c r="H89" s="1" t="s">
        <v>151</v>
      </c>
      <c r="I89" s="1" t="s">
        <v>778</v>
      </c>
      <c r="J89" s="1" t="s">
        <v>113</v>
      </c>
      <c r="K89" s="1" t="str">
        <f>_xlfn.XLOOKUP($J89, items_clean!$A:$A, items_clean!$B:$B, "")</f>
        <v>HDR-MOC-MD</v>
      </c>
      <c r="L89" s="1" t="str">
        <f>_xlfn.XLOOKUP($J89, items_clean!$A:$A, items_clean!$C:$C, "")</f>
        <v>Mocha</v>
      </c>
      <c r="M89" s="1" t="str">
        <f>_xlfn.XLOOKUP($J89, items_clean!$A:$A, items_clean!$D:$D, "")</f>
        <v>Hot Drinks</v>
      </c>
      <c r="N89" s="1" t="str">
        <f>_xlfn.XLOOKUP($J89, items_clean!$A:$A, items_clean!$E:$E, "")</f>
        <v>Medium</v>
      </c>
      <c r="O89" s="3">
        <v>1</v>
      </c>
      <c r="P89" s="2">
        <f>_xlfn.XLOOKUP($J89, items_clean!$A:$A, items_clean!$F:$F, "")</f>
        <v>4</v>
      </c>
      <c r="Q89" s="2">
        <f t="shared" si="10"/>
        <v>4</v>
      </c>
      <c r="R89" s="7">
        <f>_xlfn.XLOOKUP(K89, recipe_cost!$A:$A, recipe_cost!$B:$B, "")</f>
        <v>0.4098</v>
      </c>
      <c r="S89" s="10">
        <f t="shared" si="11"/>
        <v>0.4098</v>
      </c>
      <c r="T89" s="10">
        <f t="shared" si="12"/>
        <v>3.5901999999999998</v>
      </c>
      <c r="U89" s="9">
        <f t="shared" si="13"/>
        <v>0.89754999999999996</v>
      </c>
    </row>
    <row r="90" spans="1:21" x14ac:dyDescent="0.3">
      <c r="A90" s="1">
        <v>89</v>
      </c>
      <c r="B90" s="1" t="s">
        <v>232</v>
      </c>
      <c r="C90" s="4">
        <v>45334.559467592589</v>
      </c>
      <c r="D90" s="5">
        <f t="shared" si="7"/>
        <v>45334</v>
      </c>
      <c r="E90" s="3">
        <f t="shared" si="8"/>
        <v>13</v>
      </c>
      <c r="F90" s="1" t="str" cm="1">
        <f t="array" ref="F90">_xlfn.IFS(
E90&lt;11,"Morning",
E90&lt;15,"Afternoon",
TRUE,"Evening"
)</f>
        <v>Afternoon</v>
      </c>
      <c r="G90" s="3" t="str">
        <f t="shared" si="9"/>
        <v>Mon</v>
      </c>
      <c r="H90" s="1" t="s">
        <v>159</v>
      </c>
      <c r="I90" s="1" t="s">
        <v>146</v>
      </c>
      <c r="J90" s="1" t="s">
        <v>128</v>
      </c>
      <c r="K90" s="1" t="str">
        <f>_xlfn.XLOOKUP($J90, items_clean!$A:$A, items_clean!$B:$B, "")</f>
        <v>CDR-CMO-LG</v>
      </c>
      <c r="L90" s="1" t="str">
        <f>_xlfn.XLOOKUP($J90, items_clean!$A:$A, items_clean!$C:$C, "")</f>
        <v>Cold Mocha</v>
      </c>
      <c r="M90" s="1" t="str">
        <f>_xlfn.XLOOKUP($J90, items_clean!$A:$A, items_clean!$D:$D, "")</f>
        <v>Cold Drinks</v>
      </c>
      <c r="N90" s="1" t="str">
        <f>_xlfn.XLOOKUP($J90, items_clean!$A:$A, items_clean!$E:$E, "")</f>
        <v>Large</v>
      </c>
      <c r="O90" s="3">
        <v>1</v>
      </c>
      <c r="P90" s="2">
        <f>_xlfn.XLOOKUP($J90, items_clean!$A:$A, items_clean!$F:$F, "")</f>
        <v>4.5999999999999996</v>
      </c>
      <c r="Q90" s="2">
        <f t="shared" si="10"/>
        <v>4.5999999999999996</v>
      </c>
      <c r="R90" s="7">
        <f>_xlfn.XLOOKUP(K90, recipe_cost!$A:$A, recipe_cost!$B:$B, "")</f>
        <v>0.56669999999999998</v>
      </c>
      <c r="S90" s="10">
        <f t="shared" si="11"/>
        <v>0.56669999999999998</v>
      </c>
      <c r="T90" s="10">
        <f t="shared" si="12"/>
        <v>4.0332999999999997</v>
      </c>
      <c r="U90" s="9">
        <f t="shared" si="13"/>
        <v>0.87680434782608696</v>
      </c>
    </row>
    <row r="91" spans="1:21" x14ac:dyDescent="0.3">
      <c r="A91" s="1">
        <v>90</v>
      </c>
      <c r="B91" s="1" t="s">
        <v>232</v>
      </c>
      <c r="C91" s="4">
        <v>45334.559050925927</v>
      </c>
      <c r="D91" s="5">
        <f t="shared" si="7"/>
        <v>45334</v>
      </c>
      <c r="E91" s="3">
        <f t="shared" si="8"/>
        <v>13</v>
      </c>
      <c r="F91" s="1" t="str" cm="1">
        <f t="array" ref="F91">_xlfn.IFS(
E91&lt;11,"Morning",
E91&lt;15,"Afternoon",
TRUE,"Evening"
)</f>
        <v>Afternoon</v>
      </c>
      <c r="G91" s="3" t="str">
        <f t="shared" si="9"/>
        <v>Mon</v>
      </c>
      <c r="H91" s="1" t="s">
        <v>159</v>
      </c>
      <c r="I91" s="1" t="s">
        <v>778</v>
      </c>
      <c r="J91" s="1" t="s">
        <v>134</v>
      </c>
      <c r="K91" s="1" t="str">
        <f>_xlfn.XLOOKUP($J91, items_clean!$A:$A, items_clean!$B:$B, "")</f>
        <v>CDR-LMN-LG</v>
      </c>
      <c r="L91" s="1" t="str">
        <f>_xlfn.XLOOKUP($J91, items_clean!$A:$A, items_clean!$C:$C, "")</f>
        <v>Lemonade</v>
      </c>
      <c r="M91" s="1" t="str">
        <f>_xlfn.XLOOKUP($J91, items_clean!$A:$A, items_clean!$D:$D, "")</f>
        <v>Cold Drinks</v>
      </c>
      <c r="N91" s="1" t="str">
        <f>_xlfn.XLOOKUP($J91, items_clean!$A:$A, items_clean!$E:$E, "")</f>
        <v>Large</v>
      </c>
      <c r="O91" s="3">
        <v>1</v>
      </c>
      <c r="P91" s="2">
        <f>_xlfn.XLOOKUP($J91, items_clean!$A:$A, items_clean!$F:$F, "")</f>
        <v>3.75</v>
      </c>
      <c r="Q91" s="2">
        <f t="shared" si="10"/>
        <v>3.75</v>
      </c>
      <c r="R91" s="7">
        <f>_xlfn.XLOOKUP(K91, recipe_cost!$A:$A, recipe_cost!$B:$B, "")</f>
        <v>0.36</v>
      </c>
      <c r="S91" s="10">
        <f t="shared" si="11"/>
        <v>0.36</v>
      </c>
      <c r="T91" s="10">
        <f t="shared" si="12"/>
        <v>3.39</v>
      </c>
      <c r="U91" s="9">
        <f t="shared" si="13"/>
        <v>0.90400000000000003</v>
      </c>
    </row>
    <row r="92" spans="1:21" x14ac:dyDescent="0.3">
      <c r="A92" s="1">
        <v>91</v>
      </c>
      <c r="B92" s="1" t="s">
        <v>233</v>
      </c>
      <c r="C92" s="4">
        <v>45334.560578703706</v>
      </c>
      <c r="D92" s="5">
        <f t="shared" si="7"/>
        <v>45334</v>
      </c>
      <c r="E92" s="3">
        <f t="shared" si="8"/>
        <v>13</v>
      </c>
      <c r="F92" s="1" t="str" cm="1">
        <f t="array" ref="F92">_xlfn.IFS(
E92&lt;11,"Morning",
E92&lt;15,"Afternoon",
TRUE,"Evening"
)</f>
        <v>Afternoon</v>
      </c>
      <c r="G92" s="3" t="str">
        <f t="shared" si="9"/>
        <v>Mon</v>
      </c>
      <c r="H92" s="1" t="s">
        <v>155</v>
      </c>
      <c r="I92" s="1" t="s">
        <v>146</v>
      </c>
      <c r="J92" s="1" t="s">
        <v>116</v>
      </c>
      <c r="K92" s="1" t="str">
        <f>_xlfn.XLOOKUP($J92, items_clean!$A:$A, items_clean!$B:$B, "")</f>
        <v>HDR-WMO-MD</v>
      </c>
      <c r="L92" s="1" t="str">
        <f>_xlfn.XLOOKUP($J92, items_clean!$A:$A, items_clean!$C:$C, "")</f>
        <v>White Mocha</v>
      </c>
      <c r="M92" s="1" t="str">
        <f>_xlfn.XLOOKUP($J92, items_clean!$A:$A, items_clean!$D:$D, "")</f>
        <v>Hot Drinks</v>
      </c>
      <c r="N92" s="1" t="str">
        <f>_xlfn.XLOOKUP($J92, items_clean!$A:$A, items_clean!$E:$E, "")</f>
        <v>Medium</v>
      </c>
      <c r="O92" s="3">
        <v>1</v>
      </c>
      <c r="P92" s="2">
        <f>_xlfn.XLOOKUP($J92, items_clean!$A:$A, items_clean!$F:$F, "")</f>
        <v>4.5</v>
      </c>
      <c r="Q92" s="2">
        <f t="shared" si="10"/>
        <v>4.5</v>
      </c>
      <c r="R92" s="7">
        <f>_xlfn.XLOOKUP(K92, recipe_cost!$A:$A, recipe_cost!$B:$B, "")</f>
        <v>0.4098</v>
      </c>
      <c r="S92" s="10">
        <f t="shared" si="11"/>
        <v>0.4098</v>
      </c>
      <c r="T92" s="10">
        <f t="shared" si="12"/>
        <v>4.0902000000000003</v>
      </c>
      <c r="U92" s="9">
        <f t="shared" si="13"/>
        <v>0.90893333333333337</v>
      </c>
    </row>
    <row r="93" spans="1:21" x14ac:dyDescent="0.3">
      <c r="A93" s="1">
        <v>92</v>
      </c>
      <c r="B93" s="1" t="s">
        <v>233</v>
      </c>
      <c r="C93" s="4">
        <v>45334.560578703706</v>
      </c>
      <c r="D93" s="5">
        <f t="shared" si="7"/>
        <v>45334</v>
      </c>
      <c r="E93" s="3">
        <f t="shared" si="8"/>
        <v>13</v>
      </c>
      <c r="F93" s="1" t="str" cm="1">
        <f t="array" ref="F93">_xlfn.IFS(
E93&lt;11,"Morning",
E93&lt;15,"Afternoon",
TRUE,"Evening"
)</f>
        <v>Afternoon</v>
      </c>
      <c r="G93" s="3" t="str">
        <f t="shared" si="9"/>
        <v>Mon</v>
      </c>
      <c r="H93" s="1" t="s">
        <v>155</v>
      </c>
      <c r="I93" s="1" t="s">
        <v>778</v>
      </c>
      <c r="J93" s="1" t="s">
        <v>122</v>
      </c>
      <c r="K93" s="1" t="str">
        <f>_xlfn.XLOOKUP($J93, items_clean!$A:$A, items_clean!$B:$B, "")</f>
        <v>CDR-CCF-MD</v>
      </c>
      <c r="L93" s="1" t="str">
        <f>_xlfn.XLOOKUP($J93, items_clean!$A:$A, items_clean!$C:$C, "")</f>
        <v>Cold Coffee</v>
      </c>
      <c r="M93" s="1" t="str">
        <f>_xlfn.XLOOKUP($J93, items_clean!$A:$A, items_clean!$D:$D, "")</f>
        <v>Cold Drinks</v>
      </c>
      <c r="N93" s="1" t="str">
        <f>_xlfn.XLOOKUP($J93, items_clean!$A:$A, items_clean!$E:$E, "")</f>
        <v>Medium</v>
      </c>
      <c r="O93" s="3">
        <v>1</v>
      </c>
      <c r="P93" s="2">
        <f>_xlfn.XLOOKUP($J93, items_clean!$A:$A, items_clean!$F:$F, "")</f>
        <v>3.45</v>
      </c>
      <c r="Q93" s="2">
        <f t="shared" si="10"/>
        <v>3.45</v>
      </c>
      <c r="R93" s="7">
        <f>_xlfn.XLOOKUP(K93, recipe_cost!$A:$A, recipe_cost!$B:$B, "")</f>
        <v>0.252</v>
      </c>
      <c r="S93" s="10">
        <f t="shared" si="11"/>
        <v>0.252</v>
      </c>
      <c r="T93" s="10">
        <f t="shared" si="12"/>
        <v>3.1980000000000004</v>
      </c>
      <c r="U93" s="9">
        <f t="shared" si="13"/>
        <v>0.92695652173913046</v>
      </c>
    </row>
    <row r="94" spans="1:21" x14ac:dyDescent="0.3">
      <c r="A94" s="1">
        <v>93</v>
      </c>
      <c r="B94" s="1" t="s">
        <v>234</v>
      </c>
      <c r="C94" s="4">
        <v>45334.562939814816</v>
      </c>
      <c r="D94" s="5">
        <f t="shared" si="7"/>
        <v>45334</v>
      </c>
      <c r="E94" s="3">
        <f t="shared" si="8"/>
        <v>13</v>
      </c>
      <c r="F94" s="1" t="str" cm="1">
        <f t="array" ref="F94">_xlfn.IFS(
E94&lt;11,"Morning",
E94&lt;15,"Afternoon",
TRUE,"Evening"
)</f>
        <v>Afternoon</v>
      </c>
      <c r="G94" s="3" t="str">
        <f t="shared" si="9"/>
        <v>Mon</v>
      </c>
      <c r="H94" s="1" t="s">
        <v>157</v>
      </c>
      <c r="I94" s="1" t="s">
        <v>146</v>
      </c>
      <c r="J94" s="1" t="s">
        <v>108</v>
      </c>
      <c r="K94" s="1" t="str">
        <f>_xlfn.XLOOKUP($J94, items_clean!$A:$A, items_clean!$B:$B, "")</f>
        <v>HDR-CRM-MD</v>
      </c>
      <c r="L94" s="1" t="str">
        <f>_xlfn.XLOOKUP($J94, items_clean!$A:$A, items_clean!$C:$C, "")</f>
        <v>Caramel Macchiato</v>
      </c>
      <c r="M94" s="1" t="str">
        <f>_xlfn.XLOOKUP($J94, items_clean!$A:$A, items_clean!$D:$D, "")</f>
        <v>Hot Drinks</v>
      </c>
      <c r="N94" s="1" t="str">
        <f>_xlfn.XLOOKUP($J94, items_clean!$A:$A, items_clean!$E:$E, "")</f>
        <v>Medium</v>
      </c>
      <c r="O94" s="3">
        <v>1</v>
      </c>
      <c r="P94" s="2">
        <f>_xlfn.XLOOKUP($J94, items_clean!$A:$A, items_clean!$F:$F, "")</f>
        <v>4.2</v>
      </c>
      <c r="Q94" s="2">
        <f t="shared" si="10"/>
        <v>4.2</v>
      </c>
      <c r="R94" s="7">
        <f>_xlfn.XLOOKUP(K94, recipe_cost!$A:$A, recipe_cost!$B:$B, "")</f>
        <v>0.4098</v>
      </c>
      <c r="S94" s="10">
        <f t="shared" si="11"/>
        <v>0.4098</v>
      </c>
      <c r="T94" s="10">
        <f t="shared" si="12"/>
        <v>3.7902</v>
      </c>
      <c r="U94" s="9">
        <f t="shared" si="13"/>
        <v>0.90242857142857136</v>
      </c>
    </row>
    <row r="95" spans="1:21" x14ac:dyDescent="0.3">
      <c r="A95" s="1">
        <v>94</v>
      </c>
      <c r="B95" s="1" t="s">
        <v>234</v>
      </c>
      <c r="C95" s="4">
        <v>45334.562939814816</v>
      </c>
      <c r="D95" s="5">
        <f t="shared" si="7"/>
        <v>45334</v>
      </c>
      <c r="E95" s="3">
        <f t="shared" si="8"/>
        <v>13</v>
      </c>
      <c r="F95" s="1" t="str" cm="1">
        <f t="array" ref="F95">_xlfn.IFS(
E95&lt;11,"Morning",
E95&lt;15,"Afternoon",
TRUE,"Evening"
)</f>
        <v>Afternoon</v>
      </c>
      <c r="G95" s="3" t="str">
        <f t="shared" si="9"/>
        <v>Mon</v>
      </c>
      <c r="H95" s="1" t="s">
        <v>157</v>
      </c>
      <c r="I95" s="1" t="s">
        <v>778</v>
      </c>
      <c r="J95" s="1" t="s">
        <v>134</v>
      </c>
      <c r="K95" s="1" t="str">
        <f>_xlfn.XLOOKUP($J95, items_clean!$A:$A, items_clean!$B:$B, "")</f>
        <v>CDR-LMN-LG</v>
      </c>
      <c r="L95" s="1" t="str">
        <f>_xlfn.XLOOKUP($J95, items_clean!$A:$A, items_clean!$C:$C, "")</f>
        <v>Lemonade</v>
      </c>
      <c r="M95" s="1" t="str">
        <f>_xlfn.XLOOKUP($J95, items_clean!$A:$A, items_clean!$D:$D, "")</f>
        <v>Cold Drinks</v>
      </c>
      <c r="N95" s="1" t="str">
        <f>_xlfn.XLOOKUP($J95, items_clean!$A:$A, items_clean!$E:$E, "")</f>
        <v>Large</v>
      </c>
      <c r="O95" s="3">
        <v>1</v>
      </c>
      <c r="P95" s="2">
        <f>_xlfn.XLOOKUP($J95, items_clean!$A:$A, items_clean!$F:$F, "")</f>
        <v>3.75</v>
      </c>
      <c r="Q95" s="2">
        <f t="shared" si="10"/>
        <v>3.75</v>
      </c>
      <c r="R95" s="7">
        <f>_xlfn.XLOOKUP(K95, recipe_cost!$A:$A, recipe_cost!$B:$B, "")</f>
        <v>0.36</v>
      </c>
      <c r="S95" s="10">
        <f t="shared" si="11"/>
        <v>0.36</v>
      </c>
      <c r="T95" s="10">
        <f t="shared" si="12"/>
        <v>3.39</v>
      </c>
      <c r="U95" s="9">
        <f t="shared" si="13"/>
        <v>0.90400000000000003</v>
      </c>
    </row>
    <row r="96" spans="1:21" x14ac:dyDescent="0.3">
      <c r="A96" s="1">
        <v>95</v>
      </c>
      <c r="B96" s="1" t="s">
        <v>235</v>
      </c>
      <c r="C96" s="4">
        <v>45334.56454861111</v>
      </c>
      <c r="D96" s="5">
        <f t="shared" si="7"/>
        <v>45334</v>
      </c>
      <c r="E96" s="3">
        <f t="shared" si="8"/>
        <v>13</v>
      </c>
      <c r="F96" s="1" t="str" cm="1">
        <f t="array" ref="F96">_xlfn.IFS(
E96&lt;11,"Morning",
E96&lt;15,"Afternoon",
TRUE,"Evening"
)</f>
        <v>Afternoon</v>
      </c>
      <c r="G96" s="3" t="str">
        <f t="shared" si="9"/>
        <v>Mon</v>
      </c>
      <c r="H96" s="1" t="s">
        <v>163</v>
      </c>
      <c r="I96" s="1" t="s">
        <v>146</v>
      </c>
      <c r="J96" s="1" t="s">
        <v>115</v>
      </c>
      <c r="K96" s="1" t="str">
        <f>_xlfn.XLOOKUP($J96, items_clean!$A:$A, items_clean!$B:$B, "")</f>
        <v>HDR-MOC-LG</v>
      </c>
      <c r="L96" s="1" t="str">
        <f>_xlfn.XLOOKUP($J96, items_clean!$A:$A, items_clean!$C:$C, "")</f>
        <v>Mocha</v>
      </c>
      <c r="M96" s="1" t="str">
        <f>_xlfn.XLOOKUP($J96, items_clean!$A:$A, items_clean!$D:$D, "")</f>
        <v>Hot Drinks</v>
      </c>
      <c r="N96" s="1" t="str">
        <f>_xlfn.XLOOKUP($J96, items_clean!$A:$A, items_clean!$E:$E, "")</f>
        <v>Large</v>
      </c>
      <c r="O96" s="3">
        <v>1</v>
      </c>
      <c r="P96" s="2">
        <f>_xlfn.XLOOKUP($J96, items_clean!$A:$A, items_clean!$F:$F, "")</f>
        <v>4.5999999999999996</v>
      </c>
      <c r="Q96" s="2">
        <f t="shared" si="10"/>
        <v>4.5999999999999996</v>
      </c>
      <c r="R96" s="7">
        <f>_xlfn.XLOOKUP(K96, recipe_cost!$A:$A, recipe_cost!$B:$B, "")</f>
        <v>0.56669999999999998</v>
      </c>
      <c r="S96" s="10">
        <f t="shared" si="11"/>
        <v>0.56669999999999998</v>
      </c>
      <c r="T96" s="10">
        <f t="shared" si="12"/>
        <v>4.0332999999999997</v>
      </c>
      <c r="U96" s="9">
        <f t="shared" si="13"/>
        <v>0.87680434782608696</v>
      </c>
    </row>
    <row r="97" spans="1:21" x14ac:dyDescent="0.3">
      <c r="A97" s="1">
        <v>96</v>
      </c>
      <c r="B97" s="1" t="s">
        <v>235</v>
      </c>
      <c r="C97" s="4">
        <v>45334.56454861111</v>
      </c>
      <c r="D97" s="5">
        <f t="shared" si="7"/>
        <v>45334</v>
      </c>
      <c r="E97" s="3">
        <f t="shared" si="8"/>
        <v>13</v>
      </c>
      <c r="F97" s="1" t="str" cm="1">
        <f t="array" ref="F97">_xlfn.IFS(
E97&lt;11,"Morning",
E97&lt;15,"Afternoon",
TRUE,"Evening"
)</f>
        <v>Afternoon</v>
      </c>
      <c r="G97" s="3" t="str">
        <f t="shared" si="9"/>
        <v>Mon</v>
      </c>
      <c r="H97" s="1" t="s">
        <v>163</v>
      </c>
      <c r="I97" s="1" t="s">
        <v>778</v>
      </c>
      <c r="J97" s="1" t="s">
        <v>138</v>
      </c>
      <c r="K97" s="1" t="str">
        <f>_xlfn.XLOOKUP($J97, items_clean!$A:$A, items_clean!$B:$B, "")</f>
        <v>SNK-SSM</v>
      </c>
      <c r="L97" s="1" t="str">
        <f>_xlfn.XLOOKUP($J97, items_clean!$A:$A, items_clean!$C:$C, "")</f>
        <v>Sandwich Salami&amp;Mozzarella</v>
      </c>
      <c r="M97" s="1" t="str">
        <f>_xlfn.XLOOKUP($J97, items_clean!$A:$A, items_clean!$D:$D, "")</f>
        <v>Snacks</v>
      </c>
      <c r="N97" s="1" t="str">
        <f>_xlfn.XLOOKUP($J97, items_clean!$A:$A, items_clean!$E:$E, "")</f>
        <v>N/A</v>
      </c>
      <c r="O97" s="3">
        <v>1</v>
      </c>
      <c r="P97" s="2">
        <f>_xlfn.XLOOKUP($J97, items_clean!$A:$A, items_clean!$F:$F, "")</f>
        <v>5.5</v>
      </c>
      <c r="Q97" s="2">
        <f t="shared" si="10"/>
        <v>5.5</v>
      </c>
      <c r="R97" s="7">
        <f>_xlfn.XLOOKUP(K97, recipe_cost!$A:$A, recipe_cost!$B:$B, "")</f>
        <v>1.3120000000000001</v>
      </c>
      <c r="S97" s="10">
        <f t="shared" si="11"/>
        <v>1.3120000000000001</v>
      </c>
      <c r="T97" s="10">
        <f t="shared" si="12"/>
        <v>4.1879999999999997</v>
      </c>
      <c r="U97" s="9">
        <f t="shared" si="13"/>
        <v>0.76145454545454538</v>
      </c>
    </row>
    <row r="98" spans="1:21" x14ac:dyDescent="0.3">
      <c r="A98" s="1">
        <v>97</v>
      </c>
      <c r="B98" s="1" t="s">
        <v>236</v>
      </c>
      <c r="C98" s="4">
        <v>45334.56621527778</v>
      </c>
      <c r="D98" s="5">
        <f t="shared" si="7"/>
        <v>45334</v>
      </c>
      <c r="E98" s="3">
        <f t="shared" si="8"/>
        <v>13</v>
      </c>
      <c r="F98" s="1" t="str" cm="1">
        <f t="array" ref="F98">_xlfn.IFS(
E98&lt;11,"Morning",
E98&lt;15,"Afternoon",
TRUE,"Evening"
)</f>
        <v>Afternoon</v>
      </c>
      <c r="G98" s="3" t="str">
        <f t="shared" si="9"/>
        <v>Mon</v>
      </c>
      <c r="H98" s="1" t="s">
        <v>165</v>
      </c>
      <c r="I98" s="1" t="s">
        <v>149</v>
      </c>
      <c r="J98" s="1" t="s">
        <v>96</v>
      </c>
      <c r="K98" s="1" t="str">
        <f>_xlfn.XLOOKUP($J98, items_clean!$A:$A, items_clean!$B:$B, "")</f>
        <v>HDR-CAP-MD</v>
      </c>
      <c r="L98" s="1" t="str">
        <f>_xlfn.XLOOKUP($J98, items_clean!$A:$A, items_clean!$C:$C, "")</f>
        <v>Cappuccino</v>
      </c>
      <c r="M98" s="1" t="str">
        <f>_xlfn.XLOOKUP($J98, items_clean!$A:$A, items_clean!$D:$D, "")</f>
        <v>Hot Drinks</v>
      </c>
      <c r="N98" s="1" t="str">
        <f>_xlfn.XLOOKUP($J98, items_clean!$A:$A, items_clean!$E:$E, "")</f>
        <v>Medium</v>
      </c>
      <c r="O98" s="3">
        <v>1</v>
      </c>
      <c r="P98" s="2">
        <f>_xlfn.XLOOKUP($J98, items_clean!$A:$A, items_clean!$F:$F, "")</f>
        <v>3.45</v>
      </c>
      <c r="Q98" s="2">
        <f t="shared" si="10"/>
        <v>3.45</v>
      </c>
      <c r="R98" s="7">
        <f>_xlfn.XLOOKUP(K98, recipe_cost!$A:$A, recipe_cost!$B:$B, "")</f>
        <v>0.252</v>
      </c>
      <c r="S98" s="10">
        <f t="shared" si="11"/>
        <v>0.252</v>
      </c>
      <c r="T98" s="10">
        <f t="shared" si="12"/>
        <v>3.1980000000000004</v>
      </c>
      <c r="U98" s="9">
        <f t="shared" si="13"/>
        <v>0.92695652173913046</v>
      </c>
    </row>
    <row r="99" spans="1:21" x14ac:dyDescent="0.3">
      <c r="A99" s="1">
        <v>98</v>
      </c>
      <c r="B99" s="1" t="s">
        <v>236</v>
      </c>
      <c r="C99" s="4">
        <v>45334.56621527778</v>
      </c>
      <c r="D99" s="5">
        <f t="shared" si="7"/>
        <v>45334</v>
      </c>
      <c r="E99" s="3">
        <f t="shared" si="8"/>
        <v>13</v>
      </c>
      <c r="F99" s="1" t="str" cm="1">
        <f t="array" ref="F99">_xlfn.IFS(
E99&lt;11,"Morning",
E99&lt;15,"Afternoon",
TRUE,"Evening"
)</f>
        <v>Afternoon</v>
      </c>
      <c r="G99" s="3" t="str">
        <f t="shared" si="9"/>
        <v>Mon</v>
      </c>
      <c r="H99" s="1" t="s">
        <v>165</v>
      </c>
      <c r="I99" s="1" t="s">
        <v>778</v>
      </c>
      <c r="J99" s="1" t="s">
        <v>126</v>
      </c>
      <c r="K99" s="1" t="str">
        <f>_xlfn.XLOOKUP($J99, items_clean!$A:$A, items_clean!$B:$B, "")</f>
        <v>CDR-CMO-MD</v>
      </c>
      <c r="L99" s="1" t="str">
        <f>_xlfn.XLOOKUP($J99, items_clean!$A:$A, items_clean!$C:$C, "")</f>
        <v>Cold Mocha</v>
      </c>
      <c r="M99" s="1" t="str">
        <f>_xlfn.XLOOKUP($J99, items_clean!$A:$A, items_clean!$D:$D, "")</f>
        <v>Cold Drinks</v>
      </c>
      <c r="N99" s="1" t="str">
        <f>_xlfn.XLOOKUP($J99, items_clean!$A:$A, items_clean!$E:$E, "")</f>
        <v>Medium</v>
      </c>
      <c r="O99" s="3">
        <v>1</v>
      </c>
      <c r="P99" s="2">
        <f>_xlfn.XLOOKUP($J99, items_clean!$A:$A, items_clean!$F:$F, "")</f>
        <v>4</v>
      </c>
      <c r="Q99" s="2">
        <f t="shared" si="10"/>
        <v>4</v>
      </c>
      <c r="R99" s="7">
        <f>_xlfn.XLOOKUP(K99, recipe_cost!$A:$A, recipe_cost!$B:$B, "")</f>
        <v>0.4098</v>
      </c>
      <c r="S99" s="10">
        <f t="shared" si="11"/>
        <v>0.4098</v>
      </c>
      <c r="T99" s="10">
        <f t="shared" si="12"/>
        <v>3.5901999999999998</v>
      </c>
      <c r="U99" s="9">
        <f t="shared" si="13"/>
        <v>0.89754999999999996</v>
      </c>
    </row>
    <row r="100" spans="1:21" x14ac:dyDescent="0.3">
      <c r="A100" s="1">
        <v>99</v>
      </c>
      <c r="B100" s="1" t="s">
        <v>237</v>
      </c>
      <c r="C100" s="4">
        <v>45334.580381944441</v>
      </c>
      <c r="D100" s="5">
        <f t="shared" si="7"/>
        <v>45334</v>
      </c>
      <c r="E100" s="3">
        <f t="shared" si="8"/>
        <v>13</v>
      </c>
      <c r="F100" s="1" t="str" cm="1">
        <f t="array" ref="F100">_xlfn.IFS(
E100&lt;11,"Morning",
E100&lt;15,"Afternoon",
TRUE,"Evening"
)</f>
        <v>Afternoon</v>
      </c>
      <c r="G100" s="3" t="str">
        <f t="shared" si="9"/>
        <v>Mon</v>
      </c>
      <c r="H100" s="1" t="s">
        <v>145</v>
      </c>
      <c r="I100" s="1" t="s">
        <v>146</v>
      </c>
      <c r="J100" s="1" t="s">
        <v>131</v>
      </c>
      <c r="K100" s="1" t="str">
        <f>_xlfn.XLOOKUP($J100, items_clean!$A:$A, items_clean!$B:$B, "")</f>
        <v>CDR-ICT-LG</v>
      </c>
      <c r="L100" s="1" t="str">
        <f>_xlfn.XLOOKUP($J100, items_clean!$A:$A, items_clean!$C:$C, "")</f>
        <v>Iced Tea</v>
      </c>
      <c r="M100" s="1" t="str">
        <f>_xlfn.XLOOKUP($J100, items_clean!$A:$A, items_clean!$D:$D, "")</f>
        <v>Cold Drinks</v>
      </c>
      <c r="N100" s="1" t="str">
        <f>_xlfn.XLOOKUP($J100, items_clean!$A:$A, items_clean!$E:$E, "")</f>
        <v>Large</v>
      </c>
      <c r="O100" s="3">
        <v>1</v>
      </c>
      <c r="P100" s="2">
        <f>_xlfn.XLOOKUP($J100, items_clean!$A:$A, items_clean!$F:$F, "")</f>
        <v>3.55</v>
      </c>
      <c r="Q100" s="2">
        <f t="shared" si="10"/>
        <v>3.55</v>
      </c>
      <c r="R100" s="7">
        <f>_xlfn.XLOOKUP(K100, recipe_cost!$A:$A, recipe_cost!$B:$B, "")</f>
        <v>0.26984999999999998</v>
      </c>
      <c r="S100" s="10">
        <f t="shared" si="11"/>
        <v>0.26984999999999998</v>
      </c>
      <c r="T100" s="10">
        <f t="shared" si="12"/>
        <v>3.2801499999999999</v>
      </c>
      <c r="U100" s="9">
        <f t="shared" si="13"/>
        <v>0.92398591549295772</v>
      </c>
    </row>
    <row r="101" spans="1:21" x14ac:dyDescent="0.3">
      <c r="A101" s="1">
        <v>100</v>
      </c>
      <c r="B101" s="1" t="s">
        <v>238</v>
      </c>
      <c r="C101" s="4">
        <v>45334.58699074074</v>
      </c>
      <c r="D101" s="5">
        <f t="shared" si="7"/>
        <v>45334</v>
      </c>
      <c r="E101" s="3">
        <f t="shared" si="8"/>
        <v>14</v>
      </c>
      <c r="F101" s="1" t="str" cm="1">
        <f t="array" ref="F101">_xlfn.IFS(
E101&lt;11,"Morning",
E101&lt;15,"Afternoon",
TRUE,"Evening"
)</f>
        <v>Afternoon</v>
      </c>
      <c r="G101" s="3" t="str">
        <f t="shared" si="9"/>
        <v>Mon</v>
      </c>
      <c r="H101" s="1" t="s">
        <v>179</v>
      </c>
      <c r="I101" s="1" t="s">
        <v>149</v>
      </c>
      <c r="J101" s="1" t="s">
        <v>132</v>
      </c>
      <c r="K101" s="1" t="str">
        <f>_xlfn.XLOOKUP($J101, items_clean!$A:$A, items_clean!$B:$B, "")</f>
        <v>CDR-LMN-MD</v>
      </c>
      <c r="L101" s="1" t="str">
        <f>_xlfn.XLOOKUP($J101, items_clean!$A:$A, items_clean!$C:$C, "")</f>
        <v>Lemonade</v>
      </c>
      <c r="M101" s="1" t="str">
        <f>_xlfn.XLOOKUP($J101, items_clean!$A:$A, items_clean!$D:$D, "")</f>
        <v>Cold Drinks</v>
      </c>
      <c r="N101" s="1" t="str">
        <f>_xlfn.XLOOKUP($J101, items_clean!$A:$A, items_clean!$E:$E, "")</f>
        <v>Medium</v>
      </c>
      <c r="O101" s="3">
        <v>1</v>
      </c>
      <c r="P101" s="2">
        <f>_xlfn.XLOOKUP($J101, items_clean!$A:$A, items_clean!$F:$F, "")</f>
        <v>3.35</v>
      </c>
      <c r="Q101" s="2">
        <f t="shared" si="10"/>
        <v>3.35</v>
      </c>
      <c r="R101" s="7">
        <f>_xlfn.XLOOKUP(K101, recipe_cost!$A:$A, recipe_cost!$B:$B, "")</f>
        <v>0.34499999999999997</v>
      </c>
      <c r="S101" s="10">
        <f t="shared" si="11"/>
        <v>0.34499999999999997</v>
      </c>
      <c r="T101" s="10">
        <f t="shared" si="12"/>
        <v>3.0049999999999999</v>
      </c>
      <c r="U101" s="9">
        <f t="shared" si="13"/>
        <v>0.89701492537313432</v>
      </c>
    </row>
    <row r="102" spans="1:21" x14ac:dyDescent="0.3">
      <c r="A102" s="1">
        <v>101</v>
      </c>
      <c r="B102" s="1" t="s">
        <v>239</v>
      </c>
      <c r="C102" s="4">
        <v>45334.595462962963</v>
      </c>
      <c r="D102" s="5">
        <f t="shared" si="7"/>
        <v>45334</v>
      </c>
      <c r="E102" s="3">
        <f t="shared" si="8"/>
        <v>14</v>
      </c>
      <c r="F102" s="1" t="str" cm="1">
        <f t="array" ref="F102">_xlfn.IFS(
E102&lt;11,"Morning",
E102&lt;15,"Afternoon",
TRUE,"Evening"
)</f>
        <v>Afternoon</v>
      </c>
      <c r="G102" s="3" t="str">
        <f t="shared" si="9"/>
        <v>Mon</v>
      </c>
      <c r="H102" s="1" t="s">
        <v>151</v>
      </c>
      <c r="I102" s="1" t="s">
        <v>146</v>
      </c>
      <c r="J102" s="1" t="s">
        <v>104</v>
      </c>
      <c r="K102" s="1" t="str">
        <f>_xlfn.XLOOKUP($J102, items_clean!$A:$A, items_clean!$B:$B, "")</f>
        <v>HDR-LAT-LG</v>
      </c>
      <c r="L102" s="1" t="str">
        <f>_xlfn.XLOOKUP($J102, items_clean!$A:$A, items_clean!$C:$C, "")</f>
        <v>Latte</v>
      </c>
      <c r="M102" s="1" t="str">
        <f>_xlfn.XLOOKUP($J102, items_clean!$A:$A, items_clean!$D:$D, "")</f>
        <v>Hot Drinks</v>
      </c>
      <c r="N102" s="1" t="str">
        <f>_xlfn.XLOOKUP($J102, items_clean!$A:$A, items_clean!$E:$E, "")</f>
        <v>Large</v>
      </c>
      <c r="O102" s="3">
        <v>1</v>
      </c>
      <c r="P102" s="2">
        <f>_xlfn.XLOOKUP($J102, items_clean!$A:$A, items_clean!$F:$F, "")</f>
        <v>3.75</v>
      </c>
      <c r="Q102" s="2">
        <f t="shared" si="10"/>
        <v>3.75</v>
      </c>
      <c r="R102" s="7">
        <f>_xlfn.XLOOKUP(K102, recipe_cost!$A:$A, recipe_cost!$B:$B, "")</f>
        <v>0.33599999999999997</v>
      </c>
      <c r="S102" s="10">
        <f t="shared" si="11"/>
        <v>0.33599999999999997</v>
      </c>
      <c r="T102" s="10">
        <f t="shared" si="12"/>
        <v>3.4140000000000001</v>
      </c>
      <c r="U102" s="9">
        <f t="shared" si="13"/>
        <v>0.91039999999999999</v>
      </c>
    </row>
    <row r="103" spans="1:21" x14ac:dyDescent="0.3">
      <c r="A103" s="1">
        <v>102</v>
      </c>
      <c r="B103" s="1" t="s">
        <v>239</v>
      </c>
      <c r="C103" s="4">
        <v>45334.595462962963</v>
      </c>
      <c r="D103" s="5">
        <f t="shared" si="7"/>
        <v>45334</v>
      </c>
      <c r="E103" s="3">
        <f t="shared" si="8"/>
        <v>14</v>
      </c>
      <c r="F103" s="1" t="str" cm="1">
        <f t="array" ref="F103">_xlfn.IFS(
E103&lt;11,"Morning",
E103&lt;15,"Afternoon",
TRUE,"Evening"
)</f>
        <v>Afternoon</v>
      </c>
      <c r="G103" s="3" t="str">
        <f t="shared" si="9"/>
        <v>Mon</v>
      </c>
      <c r="H103" s="1" t="s">
        <v>151</v>
      </c>
      <c r="I103" s="1" t="s">
        <v>778</v>
      </c>
      <c r="J103" s="1" t="s">
        <v>119</v>
      </c>
      <c r="K103" s="1" t="str">
        <f>_xlfn.XLOOKUP($J103, items_clean!$A:$A, items_clean!$B:$B, "")</f>
        <v>HDR-HCH-MD</v>
      </c>
      <c r="L103" s="1" t="str">
        <f>_xlfn.XLOOKUP($J103, items_clean!$A:$A, items_clean!$C:$C, "")</f>
        <v>Hot Chocolate</v>
      </c>
      <c r="M103" s="1" t="str">
        <f>_xlfn.XLOOKUP($J103, items_clean!$A:$A, items_clean!$D:$D, "")</f>
        <v>Hot Drinks</v>
      </c>
      <c r="N103" s="1" t="str">
        <f>_xlfn.XLOOKUP($J103, items_clean!$A:$A, items_clean!$E:$E, "")</f>
        <v>Medium</v>
      </c>
      <c r="O103" s="3">
        <v>1</v>
      </c>
      <c r="P103" s="2">
        <f>_xlfn.XLOOKUP($J103, items_clean!$A:$A, items_clean!$F:$F, "")</f>
        <v>4.2</v>
      </c>
      <c r="Q103" s="2">
        <f t="shared" si="10"/>
        <v>4.2</v>
      </c>
      <c r="R103" s="7">
        <f>_xlfn.XLOOKUP(K103, recipe_cost!$A:$A, recipe_cost!$B:$B, "")</f>
        <v>1.0509999999999999</v>
      </c>
      <c r="S103" s="10">
        <f t="shared" si="11"/>
        <v>1.0509999999999999</v>
      </c>
      <c r="T103" s="10">
        <f t="shared" si="12"/>
        <v>3.149</v>
      </c>
      <c r="U103" s="9">
        <f t="shared" si="13"/>
        <v>0.74976190476190474</v>
      </c>
    </row>
    <row r="104" spans="1:21" x14ac:dyDescent="0.3">
      <c r="A104" s="1">
        <v>103</v>
      </c>
      <c r="B104" s="1" t="s">
        <v>240</v>
      </c>
      <c r="C104" s="4">
        <v>45334.604756944442</v>
      </c>
      <c r="D104" s="5">
        <f t="shared" si="7"/>
        <v>45334</v>
      </c>
      <c r="E104" s="3">
        <f t="shared" si="8"/>
        <v>14</v>
      </c>
      <c r="F104" s="1" t="str" cm="1">
        <f t="array" ref="F104">_xlfn.IFS(
E104&lt;11,"Morning",
E104&lt;15,"Afternoon",
TRUE,"Evening"
)</f>
        <v>Afternoon</v>
      </c>
      <c r="G104" s="3" t="str">
        <f t="shared" si="9"/>
        <v>Mon</v>
      </c>
      <c r="H104" s="1" t="s">
        <v>148</v>
      </c>
      <c r="I104" s="1" t="s">
        <v>149</v>
      </c>
      <c r="J104" s="1" t="s">
        <v>128</v>
      </c>
      <c r="K104" s="1" t="str">
        <f>_xlfn.XLOOKUP($J104, items_clean!$A:$A, items_clean!$B:$B, "")</f>
        <v>CDR-CMO-LG</v>
      </c>
      <c r="L104" s="1" t="str">
        <f>_xlfn.XLOOKUP($J104, items_clean!$A:$A, items_clean!$C:$C, "")</f>
        <v>Cold Mocha</v>
      </c>
      <c r="M104" s="1" t="str">
        <f>_xlfn.XLOOKUP($J104, items_clean!$A:$A, items_clean!$D:$D, "")</f>
        <v>Cold Drinks</v>
      </c>
      <c r="N104" s="1" t="str">
        <f>_xlfn.XLOOKUP($J104, items_clean!$A:$A, items_clean!$E:$E, "")</f>
        <v>Large</v>
      </c>
      <c r="O104" s="3">
        <v>1</v>
      </c>
      <c r="P104" s="2">
        <f>_xlfn.XLOOKUP($J104, items_clean!$A:$A, items_clean!$F:$F, "")</f>
        <v>4.5999999999999996</v>
      </c>
      <c r="Q104" s="2">
        <f t="shared" si="10"/>
        <v>4.5999999999999996</v>
      </c>
      <c r="R104" s="7">
        <f>_xlfn.XLOOKUP(K104, recipe_cost!$A:$A, recipe_cost!$B:$B, "")</f>
        <v>0.56669999999999998</v>
      </c>
      <c r="S104" s="10">
        <f t="shared" si="11"/>
        <v>0.56669999999999998</v>
      </c>
      <c r="T104" s="10">
        <f t="shared" si="12"/>
        <v>4.0332999999999997</v>
      </c>
      <c r="U104" s="9">
        <f t="shared" si="13"/>
        <v>0.87680434782608696</v>
      </c>
    </row>
    <row r="105" spans="1:21" x14ac:dyDescent="0.3">
      <c r="A105" s="1">
        <v>104</v>
      </c>
      <c r="B105" s="1" t="s">
        <v>241</v>
      </c>
      <c r="C105" s="4">
        <v>45334.614629629628</v>
      </c>
      <c r="D105" s="5">
        <f t="shared" si="7"/>
        <v>45334</v>
      </c>
      <c r="E105" s="3">
        <f t="shared" si="8"/>
        <v>14</v>
      </c>
      <c r="F105" s="1" t="str" cm="1">
        <f t="array" ref="F105">_xlfn.IFS(
E105&lt;11,"Morning",
E105&lt;15,"Afternoon",
TRUE,"Evening"
)</f>
        <v>Afternoon</v>
      </c>
      <c r="G105" s="3" t="str">
        <f t="shared" si="9"/>
        <v>Mon</v>
      </c>
      <c r="H105" s="1" t="s">
        <v>153</v>
      </c>
      <c r="I105" s="1" t="s">
        <v>149</v>
      </c>
      <c r="J105" s="1" t="s">
        <v>110</v>
      </c>
      <c r="K105" s="1" t="str">
        <f>_xlfn.XLOOKUP($J105, items_clean!$A:$A, items_clean!$B:$B, "")</f>
        <v>HDR-CRM-LG</v>
      </c>
      <c r="L105" s="1" t="str">
        <f>_xlfn.XLOOKUP($J105, items_clean!$A:$A, items_clean!$C:$C, "")</f>
        <v>Caramel Macchiato</v>
      </c>
      <c r="M105" s="1" t="str">
        <f>_xlfn.XLOOKUP($J105, items_clean!$A:$A, items_clean!$D:$D, "")</f>
        <v>Hot Drinks</v>
      </c>
      <c r="N105" s="1" t="str">
        <f>_xlfn.XLOOKUP($J105, items_clean!$A:$A, items_clean!$E:$E, "")</f>
        <v>Large</v>
      </c>
      <c r="O105" s="3">
        <v>1</v>
      </c>
      <c r="P105" s="2">
        <f>_xlfn.XLOOKUP($J105, items_clean!$A:$A, items_clean!$F:$F, "")</f>
        <v>4.5999999999999996</v>
      </c>
      <c r="Q105" s="2">
        <f t="shared" si="10"/>
        <v>4.5999999999999996</v>
      </c>
      <c r="R105" s="7">
        <f>_xlfn.XLOOKUP(K105, recipe_cost!$A:$A, recipe_cost!$B:$B, "")</f>
        <v>0.56669999999999998</v>
      </c>
      <c r="S105" s="10">
        <f t="shared" si="11"/>
        <v>0.56669999999999998</v>
      </c>
      <c r="T105" s="10">
        <f t="shared" si="12"/>
        <v>4.0332999999999997</v>
      </c>
      <c r="U105" s="9">
        <f t="shared" si="13"/>
        <v>0.87680434782608696</v>
      </c>
    </row>
    <row r="106" spans="1:21" x14ac:dyDescent="0.3">
      <c r="A106" s="1">
        <v>105</v>
      </c>
      <c r="B106" s="1" t="s">
        <v>241</v>
      </c>
      <c r="C106" s="4">
        <v>45334.614629629628</v>
      </c>
      <c r="D106" s="5">
        <f t="shared" si="7"/>
        <v>45334</v>
      </c>
      <c r="E106" s="3">
        <f t="shared" si="8"/>
        <v>14</v>
      </c>
      <c r="F106" s="1" t="str" cm="1">
        <f t="array" ref="F106">_xlfn.IFS(
E106&lt;11,"Morning",
E106&lt;15,"Afternoon",
TRUE,"Evening"
)</f>
        <v>Afternoon</v>
      </c>
      <c r="G106" s="3" t="str">
        <f t="shared" si="9"/>
        <v>Mon</v>
      </c>
      <c r="H106" s="1" t="s">
        <v>153</v>
      </c>
      <c r="I106" s="1" t="s">
        <v>778</v>
      </c>
      <c r="J106" s="1" t="s">
        <v>116</v>
      </c>
      <c r="K106" s="1" t="str">
        <f>_xlfn.XLOOKUP($J106, items_clean!$A:$A, items_clean!$B:$B, "")</f>
        <v>HDR-WMO-MD</v>
      </c>
      <c r="L106" s="1" t="str">
        <f>_xlfn.XLOOKUP($J106, items_clean!$A:$A, items_clean!$C:$C, "")</f>
        <v>White Mocha</v>
      </c>
      <c r="M106" s="1" t="str">
        <f>_xlfn.XLOOKUP($J106, items_clean!$A:$A, items_clean!$D:$D, "")</f>
        <v>Hot Drinks</v>
      </c>
      <c r="N106" s="1" t="str">
        <f>_xlfn.XLOOKUP($J106, items_clean!$A:$A, items_clean!$E:$E, "")</f>
        <v>Medium</v>
      </c>
      <c r="O106" s="3">
        <v>1</v>
      </c>
      <c r="P106" s="2">
        <f>_xlfn.XLOOKUP($J106, items_clean!$A:$A, items_clean!$F:$F, "")</f>
        <v>4.5</v>
      </c>
      <c r="Q106" s="2">
        <f t="shared" si="10"/>
        <v>4.5</v>
      </c>
      <c r="R106" s="7">
        <f>_xlfn.XLOOKUP(K106, recipe_cost!$A:$A, recipe_cost!$B:$B, "")</f>
        <v>0.4098</v>
      </c>
      <c r="S106" s="10">
        <f t="shared" si="11"/>
        <v>0.4098</v>
      </c>
      <c r="T106" s="10">
        <f t="shared" si="12"/>
        <v>4.0902000000000003</v>
      </c>
      <c r="U106" s="9">
        <f t="shared" si="13"/>
        <v>0.90893333333333337</v>
      </c>
    </row>
    <row r="107" spans="1:21" x14ac:dyDescent="0.3">
      <c r="A107" s="1">
        <v>106</v>
      </c>
      <c r="B107" s="1" t="s">
        <v>242</v>
      </c>
      <c r="C107" s="4">
        <v>45334.625335648147</v>
      </c>
      <c r="D107" s="5">
        <f t="shared" si="7"/>
        <v>45334</v>
      </c>
      <c r="E107" s="3">
        <f t="shared" si="8"/>
        <v>15</v>
      </c>
      <c r="F107" s="1" t="str" cm="1">
        <f t="array" ref="F107">_xlfn.IFS(
E107&lt;11,"Morning",
E107&lt;15,"Afternoon",
TRUE,"Evening"
)</f>
        <v>Evening</v>
      </c>
      <c r="G107" s="3" t="str">
        <f t="shared" si="9"/>
        <v>Mon</v>
      </c>
      <c r="H107" s="1" t="s">
        <v>159</v>
      </c>
      <c r="I107" s="1" t="s">
        <v>146</v>
      </c>
      <c r="J107" s="1" t="s">
        <v>119</v>
      </c>
      <c r="K107" s="1" t="str">
        <f>_xlfn.XLOOKUP($J107, items_clean!$A:$A, items_clean!$B:$B, "")</f>
        <v>HDR-HCH-MD</v>
      </c>
      <c r="L107" s="1" t="str">
        <f>_xlfn.XLOOKUP($J107, items_clean!$A:$A, items_clean!$C:$C, "")</f>
        <v>Hot Chocolate</v>
      </c>
      <c r="M107" s="1" t="str">
        <f>_xlfn.XLOOKUP($J107, items_clean!$A:$A, items_clean!$D:$D, "")</f>
        <v>Hot Drinks</v>
      </c>
      <c r="N107" s="1" t="str">
        <f>_xlfn.XLOOKUP($J107, items_clean!$A:$A, items_clean!$E:$E, "")</f>
        <v>Medium</v>
      </c>
      <c r="O107" s="3">
        <v>1</v>
      </c>
      <c r="P107" s="2">
        <f>_xlfn.XLOOKUP($J107, items_clean!$A:$A, items_clean!$F:$F, "")</f>
        <v>4.2</v>
      </c>
      <c r="Q107" s="2">
        <f t="shared" si="10"/>
        <v>4.2</v>
      </c>
      <c r="R107" s="7">
        <f>_xlfn.XLOOKUP(K107, recipe_cost!$A:$A, recipe_cost!$B:$B, "")</f>
        <v>1.0509999999999999</v>
      </c>
      <c r="S107" s="10">
        <f t="shared" si="11"/>
        <v>1.0509999999999999</v>
      </c>
      <c r="T107" s="10">
        <f t="shared" si="12"/>
        <v>3.149</v>
      </c>
      <c r="U107" s="9">
        <f t="shared" si="13"/>
        <v>0.74976190476190474</v>
      </c>
    </row>
    <row r="108" spans="1:21" x14ac:dyDescent="0.3">
      <c r="A108" s="1">
        <v>107</v>
      </c>
      <c r="B108" s="1" t="s">
        <v>243</v>
      </c>
      <c r="C108" s="4">
        <v>45334.639374999999</v>
      </c>
      <c r="D108" s="5">
        <f t="shared" si="7"/>
        <v>45334</v>
      </c>
      <c r="E108" s="3">
        <f t="shared" si="8"/>
        <v>15</v>
      </c>
      <c r="F108" s="1" t="str" cm="1">
        <f t="array" ref="F108">_xlfn.IFS(
E108&lt;11,"Morning",
E108&lt;15,"Afternoon",
TRUE,"Evening"
)</f>
        <v>Evening</v>
      </c>
      <c r="G108" s="3" t="str">
        <f t="shared" si="9"/>
        <v>Mon</v>
      </c>
      <c r="H108" s="1" t="s">
        <v>155</v>
      </c>
      <c r="I108" s="1" t="s">
        <v>149</v>
      </c>
      <c r="J108" s="1" t="s">
        <v>113</v>
      </c>
      <c r="K108" s="1" t="str">
        <f>_xlfn.XLOOKUP($J108, items_clean!$A:$A, items_clean!$B:$B, "")</f>
        <v>HDR-MOC-MD</v>
      </c>
      <c r="L108" s="1" t="str">
        <f>_xlfn.XLOOKUP($J108, items_clean!$A:$A, items_clean!$C:$C, "")</f>
        <v>Mocha</v>
      </c>
      <c r="M108" s="1" t="str">
        <f>_xlfn.XLOOKUP($J108, items_clean!$A:$A, items_clean!$D:$D, "")</f>
        <v>Hot Drinks</v>
      </c>
      <c r="N108" s="1" t="str">
        <f>_xlfn.XLOOKUP($J108, items_clean!$A:$A, items_clean!$E:$E, "")</f>
        <v>Medium</v>
      </c>
      <c r="O108" s="3">
        <v>1</v>
      </c>
      <c r="P108" s="2">
        <f>_xlfn.XLOOKUP($J108, items_clean!$A:$A, items_clean!$F:$F, "")</f>
        <v>4</v>
      </c>
      <c r="Q108" s="2">
        <f t="shared" si="10"/>
        <v>4</v>
      </c>
      <c r="R108" s="7">
        <f>_xlfn.XLOOKUP(K108, recipe_cost!$A:$A, recipe_cost!$B:$B, "")</f>
        <v>0.4098</v>
      </c>
      <c r="S108" s="10">
        <f t="shared" si="11"/>
        <v>0.4098</v>
      </c>
      <c r="T108" s="10">
        <f t="shared" si="12"/>
        <v>3.5901999999999998</v>
      </c>
      <c r="U108" s="9">
        <f t="shared" si="13"/>
        <v>0.89754999999999996</v>
      </c>
    </row>
    <row r="109" spans="1:21" x14ac:dyDescent="0.3">
      <c r="A109" s="1">
        <v>108</v>
      </c>
      <c r="B109" s="1" t="s">
        <v>243</v>
      </c>
      <c r="C109" s="4">
        <v>45334.639374999999</v>
      </c>
      <c r="D109" s="5">
        <f t="shared" si="7"/>
        <v>45334</v>
      </c>
      <c r="E109" s="3">
        <f t="shared" si="8"/>
        <v>15</v>
      </c>
      <c r="F109" s="1" t="str" cm="1">
        <f t="array" ref="F109">_xlfn.IFS(
E109&lt;11,"Morning",
E109&lt;15,"Afternoon",
TRUE,"Evening"
)</f>
        <v>Evening</v>
      </c>
      <c r="G109" s="3" t="str">
        <f t="shared" si="9"/>
        <v>Mon</v>
      </c>
      <c r="H109" s="1" t="s">
        <v>155</v>
      </c>
      <c r="I109" s="1" t="s">
        <v>778</v>
      </c>
      <c r="J109" s="1" t="s">
        <v>102</v>
      </c>
      <c r="K109" s="1" t="str">
        <f>_xlfn.XLOOKUP($J109, items_clean!$A:$A, items_clean!$B:$B, "")</f>
        <v>HDR-LAT-MD</v>
      </c>
      <c r="L109" s="1" t="str">
        <f>_xlfn.XLOOKUP($J109, items_clean!$A:$A, items_clean!$C:$C, "")</f>
        <v>Latte</v>
      </c>
      <c r="M109" s="1" t="str">
        <f>_xlfn.XLOOKUP($J109, items_clean!$A:$A, items_clean!$D:$D, "")</f>
        <v>Hot Drinks</v>
      </c>
      <c r="N109" s="1" t="str">
        <f>_xlfn.XLOOKUP($J109, items_clean!$A:$A, items_clean!$E:$E, "")</f>
        <v>Medium</v>
      </c>
      <c r="O109" s="3">
        <v>1</v>
      </c>
      <c r="P109" s="2">
        <f>_xlfn.XLOOKUP($J109, items_clean!$A:$A, items_clean!$F:$F, "")</f>
        <v>3.45</v>
      </c>
      <c r="Q109" s="2">
        <f t="shared" si="10"/>
        <v>3.45</v>
      </c>
      <c r="R109" s="7">
        <f>_xlfn.XLOOKUP(K109, recipe_cost!$A:$A, recipe_cost!$B:$B, "")</f>
        <v>0.252</v>
      </c>
      <c r="S109" s="10">
        <f t="shared" si="11"/>
        <v>0.252</v>
      </c>
      <c r="T109" s="10">
        <f t="shared" si="12"/>
        <v>3.1980000000000004</v>
      </c>
      <c r="U109" s="9">
        <f t="shared" si="13"/>
        <v>0.92695652173913046</v>
      </c>
    </row>
    <row r="110" spans="1:21" x14ac:dyDescent="0.3">
      <c r="A110" s="1">
        <v>109</v>
      </c>
      <c r="B110" s="1" t="s">
        <v>244</v>
      </c>
      <c r="C110" s="4">
        <v>45334.652870370373</v>
      </c>
      <c r="D110" s="5">
        <f t="shared" si="7"/>
        <v>45334</v>
      </c>
      <c r="E110" s="3">
        <f t="shared" si="8"/>
        <v>15</v>
      </c>
      <c r="F110" s="1" t="str" cm="1">
        <f t="array" ref="F110">_xlfn.IFS(
E110&lt;11,"Morning",
E110&lt;15,"Afternoon",
TRUE,"Evening"
)</f>
        <v>Evening</v>
      </c>
      <c r="G110" s="3" t="str">
        <f t="shared" si="9"/>
        <v>Mon</v>
      </c>
      <c r="H110" s="1" t="s">
        <v>157</v>
      </c>
      <c r="I110" s="1" t="s">
        <v>146</v>
      </c>
      <c r="J110" s="1" t="s">
        <v>121</v>
      </c>
      <c r="K110" s="1" t="str">
        <f>_xlfn.XLOOKUP($J110, items_clean!$A:$A, items_clean!$B:$B, "")</f>
        <v>HDR-HCH-LG</v>
      </c>
      <c r="L110" s="1" t="str">
        <f>_xlfn.XLOOKUP($J110, items_clean!$A:$A, items_clean!$C:$C, "")</f>
        <v>Hot Chocolate</v>
      </c>
      <c r="M110" s="1" t="str">
        <f>_xlfn.XLOOKUP($J110, items_clean!$A:$A, items_clean!$D:$D, "")</f>
        <v>Hot Drinks</v>
      </c>
      <c r="N110" s="1" t="str">
        <f>_xlfn.XLOOKUP($J110, items_clean!$A:$A, items_clean!$E:$E, "")</f>
        <v>Large</v>
      </c>
      <c r="O110" s="3">
        <v>1</v>
      </c>
      <c r="P110" s="2">
        <f>_xlfn.XLOOKUP($J110, items_clean!$A:$A, items_clean!$F:$F, "")</f>
        <v>4.5999999999999996</v>
      </c>
      <c r="Q110" s="2">
        <f t="shared" si="10"/>
        <v>4.5999999999999996</v>
      </c>
      <c r="R110" s="7">
        <f>_xlfn.XLOOKUP(K110, recipe_cost!$A:$A, recipe_cost!$B:$B, "")</f>
        <v>1.4809999999999999</v>
      </c>
      <c r="S110" s="10">
        <f t="shared" si="11"/>
        <v>1.4809999999999999</v>
      </c>
      <c r="T110" s="10">
        <f t="shared" si="12"/>
        <v>3.1189999999999998</v>
      </c>
      <c r="U110" s="9">
        <f t="shared" si="13"/>
        <v>0.67804347826086953</v>
      </c>
    </row>
    <row r="111" spans="1:21" x14ac:dyDescent="0.3">
      <c r="A111" s="1">
        <v>110</v>
      </c>
      <c r="B111" s="1" t="s">
        <v>244</v>
      </c>
      <c r="C111" s="4">
        <v>45334.652916666666</v>
      </c>
      <c r="D111" s="5">
        <f t="shared" si="7"/>
        <v>45334</v>
      </c>
      <c r="E111" s="3">
        <f t="shared" si="8"/>
        <v>15</v>
      </c>
      <c r="F111" s="1" t="str" cm="1">
        <f t="array" ref="F111">_xlfn.IFS(
E111&lt;11,"Morning",
E111&lt;15,"Afternoon",
TRUE,"Evening"
)</f>
        <v>Evening</v>
      </c>
      <c r="G111" s="3" t="str">
        <f t="shared" si="9"/>
        <v>Mon</v>
      </c>
      <c r="H111" s="1" t="s">
        <v>157</v>
      </c>
      <c r="I111" s="1" t="s">
        <v>778</v>
      </c>
      <c r="J111" s="1" t="s">
        <v>134</v>
      </c>
      <c r="K111" s="1" t="str">
        <f>_xlfn.XLOOKUP($J111, items_clean!$A:$A, items_clean!$B:$B, "")</f>
        <v>CDR-LMN-LG</v>
      </c>
      <c r="L111" s="1" t="str">
        <f>_xlfn.XLOOKUP($J111, items_clean!$A:$A, items_clean!$C:$C, "")</f>
        <v>Lemonade</v>
      </c>
      <c r="M111" s="1" t="str">
        <f>_xlfn.XLOOKUP($J111, items_clean!$A:$A, items_clean!$D:$D, "")</f>
        <v>Cold Drinks</v>
      </c>
      <c r="N111" s="1" t="str">
        <f>_xlfn.XLOOKUP($J111, items_clean!$A:$A, items_clean!$E:$E, "")</f>
        <v>Large</v>
      </c>
      <c r="O111" s="3">
        <v>1</v>
      </c>
      <c r="P111" s="2">
        <f>_xlfn.XLOOKUP($J111, items_clean!$A:$A, items_clean!$F:$F, "")</f>
        <v>3.75</v>
      </c>
      <c r="Q111" s="2">
        <f t="shared" si="10"/>
        <v>3.75</v>
      </c>
      <c r="R111" s="7">
        <f>_xlfn.XLOOKUP(K111, recipe_cost!$A:$A, recipe_cost!$B:$B, "")</f>
        <v>0.36</v>
      </c>
      <c r="S111" s="10">
        <f t="shared" si="11"/>
        <v>0.36</v>
      </c>
      <c r="T111" s="10">
        <f t="shared" si="12"/>
        <v>3.39</v>
      </c>
      <c r="U111" s="9">
        <f t="shared" si="13"/>
        <v>0.90400000000000003</v>
      </c>
    </row>
    <row r="112" spans="1:21" x14ac:dyDescent="0.3">
      <c r="A112" s="1">
        <v>111</v>
      </c>
      <c r="B112" s="1" t="s">
        <v>245</v>
      </c>
      <c r="C112" s="4">
        <v>45334.666932870372</v>
      </c>
      <c r="D112" s="5">
        <f t="shared" si="7"/>
        <v>45334</v>
      </c>
      <c r="E112" s="3">
        <f t="shared" si="8"/>
        <v>16</v>
      </c>
      <c r="F112" s="1" t="str" cm="1">
        <f t="array" ref="F112">_xlfn.IFS(
E112&lt;11,"Morning",
E112&lt;15,"Afternoon",
TRUE,"Evening"
)</f>
        <v>Evening</v>
      </c>
      <c r="G112" s="3" t="str">
        <f t="shared" si="9"/>
        <v>Mon</v>
      </c>
      <c r="H112" s="1" t="s">
        <v>167</v>
      </c>
      <c r="I112" s="1" t="s">
        <v>146</v>
      </c>
      <c r="J112" s="1" t="s">
        <v>105</v>
      </c>
      <c r="K112" s="1" t="str">
        <f>_xlfn.XLOOKUP($J112, items_clean!$A:$A, items_clean!$B:$B, "")</f>
        <v>HDR-FLT</v>
      </c>
      <c r="L112" s="1" t="str">
        <f>_xlfn.XLOOKUP($J112, items_clean!$A:$A, items_clean!$C:$C, "")</f>
        <v>Flat White</v>
      </c>
      <c r="M112" s="1" t="str">
        <f>_xlfn.XLOOKUP($J112, items_clean!$A:$A, items_clean!$D:$D, "")</f>
        <v>Hot Drinks</v>
      </c>
      <c r="N112" s="1" t="str">
        <f>_xlfn.XLOOKUP($J112, items_clean!$A:$A, items_clean!$E:$E, "")</f>
        <v>N/A</v>
      </c>
      <c r="O112" s="3">
        <v>1</v>
      </c>
      <c r="P112" s="2">
        <f>_xlfn.XLOOKUP($J112, items_clean!$A:$A, items_clean!$F:$F, "")</f>
        <v>3.15</v>
      </c>
      <c r="Q112" s="2">
        <f t="shared" si="10"/>
        <v>3.15</v>
      </c>
      <c r="R112" s="7">
        <f>_xlfn.XLOOKUP(K112, recipe_cost!$A:$A, recipe_cost!$B:$B, "")</f>
        <v>0.28799999999999998</v>
      </c>
      <c r="S112" s="10">
        <f t="shared" si="11"/>
        <v>0.28799999999999998</v>
      </c>
      <c r="T112" s="10">
        <f t="shared" si="12"/>
        <v>2.8620000000000001</v>
      </c>
      <c r="U112" s="9">
        <f t="shared" si="13"/>
        <v>0.90857142857142859</v>
      </c>
    </row>
    <row r="113" spans="1:21" x14ac:dyDescent="0.3">
      <c r="A113" s="1">
        <v>112</v>
      </c>
      <c r="B113" s="1" t="s">
        <v>246</v>
      </c>
      <c r="C113" s="4">
        <v>45334.684421296297</v>
      </c>
      <c r="D113" s="5">
        <f t="shared" si="7"/>
        <v>45334</v>
      </c>
      <c r="E113" s="3">
        <f t="shared" si="8"/>
        <v>16</v>
      </c>
      <c r="F113" s="1" t="str" cm="1">
        <f t="array" ref="F113">_xlfn.IFS(
E113&lt;11,"Morning",
E113&lt;15,"Afternoon",
TRUE,"Evening"
)</f>
        <v>Evening</v>
      </c>
      <c r="G113" s="3" t="str">
        <f t="shared" si="9"/>
        <v>Mon</v>
      </c>
      <c r="H113" s="1" t="s">
        <v>219</v>
      </c>
      <c r="I113" s="1" t="s">
        <v>146</v>
      </c>
      <c r="J113" s="1" t="s">
        <v>126</v>
      </c>
      <c r="K113" s="1" t="str">
        <f>_xlfn.XLOOKUP($J113, items_clean!$A:$A, items_clean!$B:$B, "")</f>
        <v>CDR-CMO-MD</v>
      </c>
      <c r="L113" s="1" t="str">
        <f>_xlfn.XLOOKUP($J113, items_clean!$A:$A, items_clean!$C:$C, "")</f>
        <v>Cold Mocha</v>
      </c>
      <c r="M113" s="1" t="str">
        <f>_xlfn.XLOOKUP($J113, items_clean!$A:$A, items_clean!$D:$D, "")</f>
        <v>Cold Drinks</v>
      </c>
      <c r="N113" s="1" t="str">
        <f>_xlfn.XLOOKUP($J113, items_clean!$A:$A, items_clean!$E:$E, "")</f>
        <v>Medium</v>
      </c>
      <c r="O113" s="3">
        <v>1</v>
      </c>
      <c r="P113" s="2">
        <f>_xlfn.XLOOKUP($J113, items_clean!$A:$A, items_clean!$F:$F, "")</f>
        <v>4</v>
      </c>
      <c r="Q113" s="2">
        <f t="shared" si="10"/>
        <v>4</v>
      </c>
      <c r="R113" s="7">
        <f>_xlfn.XLOOKUP(K113, recipe_cost!$A:$A, recipe_cost!$B:$B, "")</f>
        <v>0.4098</v>
      </c>
      <c r="S113" s="10">
        <f t="shared" si="11"/>
        <v>0.4098</v>
      </c>
      <c r="T113" s="10">
        <f t="shared" si="12"/>
        <v>3.5901999999999998</v>
      </c>
      <c r="U113" s="9">
        <f t="shared" si="13"/>
        <v>0.89754999999999996</v>
      </c>
    </row>
    <row r="114" spans="1:21" x14ac:dyDescent="0.3">
      <c r="A114" s="1">
        <v>113</v>
      </c>
      <c r="B114" s="1" t="s">
        <v>247</v>
      </c>
      <c r="C114" s="4">
        <v>45334.701909722222</v>
      </c>
      <c r="D114" s="5">
        <f t="shared" si="7"/>
        <v>45334</v>
      </c>
      <c r="E114" s="3">
        <f t="shared" si="8"/>
        <v>16</v>
      </c>
      <c r="F114" s="1" t="str" cm="1">
        <f t="array" ref="F114">_xlfn.IFS(
E114&lt;11,"Morning",
E114&lt;15,"Afternoon",
TRUE,"Evening"
)</f>
        <v>Evening</v>
      </c>
      <c r="G114" s="3" t="str">
        <f t="shared" si="9"/>
        <v>Mon</v>
      </c>
      <c r="H114" s="1" t="s">
        <v>163</v>
      </c>
      <c r="I114" s="1" t="s">
        <v>146</v>
      </c>
      <c r="J114" s="1" t="s">
        <v>118</v>
      </c>
      <c r="K114" s="1" t="str">
        <f>_xlfn.XLOOKUP($J114, items_clean!$A:$A, items_clean!$B:$B, "")</f>
        <v>HDR-WMO-LG</v>
      </c>
      <c r="L114" s="1" t="str">
        <f>_xlfn.XLOOKUP($J114, items_clean!$A:$A, items_clean!$C:$C, "")</f>
        <v>White Mocha</v>
      </c>
      <c r="M114" s="1" t="str">
        <f>_xlfn.XLOOKUP($J114, items_clean!$A:$A, items_clean!$D:$D, "")</f>
        <v>Hot Drinks</v>
      </c>
      <c r="N114" s="1" t="str">
        <f>_xlfn.XLOOKUP($J114, items_clean!$A:$A, items_clean!$E:$E, "")</f>
        <v>Large</v>
      </c>
      <c r="O114" s="3">
        <v>1</v>
      </c>
      <c r="P114" s="2">
        <f>_xlfn.XLOOKUP($J114, items_clean!$A:$A, items_clean!$F:$F, "")</f>
        <v>4.7</v>
      </c>
      <c r="Q114" s="2">
        <f t="shared" si="10"/>
        <v>4.7</v>
      </c>
      <c r="R114" s="7">
        <f>_xlfn.XLOOKUP(K114, recipe_cost!$A:$A, recipe_cost!$B:$B, "")</f>
        <v>0.56669999999999998</v>
      </c>
      <c r="S114" s="10">
        <f t="shared" si="11"/>
        <v>0.56669999999999998</v>
      </c>
      <c r="T114" s="10">
        <f t="shared" si="12"/>
        <v>4.1333000000000002</v>
      </c>
      <c r="U114" s="9">
        <f t="shared" si="13"/>
        <v>0.87942553191489359</v>
      </c>
    </row>
    <row r="115" spans="1:21" x14ac:dyDescent="0.3">
      <c r="A115" s="1">
        <v>114</v>
      </c>
      <c r="B115" s="1" t="s">
        <v>248</v>
      </c>
      <c r="C115" s="4">
        <v>45334.708854166667</v>
      </c>
      <c r="D115" s="5">
        <f t="shared" si="7"/>
        <v>45334</v>
      </c>
      <c r="E115" s="3">
        <f t="shared" si="8"/>
        <v>17</v>
      </c>
      <c r="F115" s="1" t="str" cm="1">
        <f t="array" ref="F115">_xlfn.IFS(
E115&lt;11,"Morning",
E115&lt;15,"Afternoon",
TRUE,"Evening"
)</f>
        <v>Evening</v>
      </c>
      <c r="G115" s="3" t="str">
        <f t="shared" si="9"/>
        <v>Mon</v>
      </c>
      <c r="H115" s="1" t="s">
        <v>249</v>
      </c>
      <c r="I115" s="1" t="s">
        <v>146</v>
      </c>
      <c r="J115" s="1" t="s">
        <v>96</v>
      </c>
      <c r="K115" s="1" t="str">
        <f>_xlfn.XLOOKUP($J115, items_clean!$A:$A, items_clean!$B:$B, "")</f>
        <v>HDR-CAP-MD</v>
      </c>
      <c r="L115" s="1" t="str">
        <f>_xlfn.XLOOKUP($J115, items_clean!$A:$A, items_clean!$C:$C, "")</f>
        <v>Cappuccino</v>
      </c>
      <c r="M115" s="1" t="str">
        <f>_xlfn.XLOOKUP($J115, items_clean!$A:$A, items_clean!$D:$D, "")</f>
        <v>Hot Drinks</v>
      </c>
      <c r="N115" s="1" t="str">
        <f>_xlfn.XLOOKUP($J115, items_clean!$A:$A, items_clean!$E:$E, "")</f>
        <v>Medium</v>
      </c>
      <c r="O115" s="3">
        <v>1</v>
      </c>
      <c r="P115" s="2">
        <f>_xlfn.XLOOKUP($J115, items_clean!$A:$A, items_clean!$F:$F, "")</f>
        <v>3.45</v>
      </c>
      <c r="Q115" s="2">
        <f t="shared" si="10"/>
        <v>3.45</v>
      </c>
      <c r="R115" s="7">
        <f>_xlfn.XLOOKUP(K115, recipe_cost!$A:$A, recipe_cost!$B:$B, "")</f>
        <v>0.252</v>
      </c>
      <c r="S115" s="10">
        <f t="shared" si="11"/>
        <v>0.252</v>
      </c>
      <c r="T115" s="10">
        <f t="shared" si="12"/>
        <v>3.1980000000000004</v>
      </c>
      <c r="U115" s="9">
        <f t="shared" si="13"/>
        <v>0.92695652173913046</v>
      </c>
    </row>
    <row r="116" spans="1:21" x14ac:dyDescent="0.3">
      <c r="A116" s="1">
        <v>115</v>
      </c>
      <c r="B116" s="1" t="s">
        <v>250</v>
      </c>
      <c r="C116" s="4">
        <v>45335.301388888889</v>
      </c>
      <c r="D116" s="5">
        <f t="shared" si="7"/>
        <v>45335</v>
      </c>
      <c r="E116" s="3">
        <f t="shared" si="8"/>
        <v>7</v>
      </c>
      <c r="F116" s="1" t="str" cm="1">
        <f t="array" ref="F116">_xlfn.IFS(
E116&lt;11,"Morning",
E116&lt;15,"Afternoon",
TRUE,"Evening"
)</f>
        <v>Morning</v>
      </c>
      <c r="G116" s="3" t="str">
        <f t="shared" si="9"/>
        <v>Tue</v>
      </c>
      <c r="H116" s="1" t="s">
        <v>251</v>
      </c>
      <c r="I116" s="1" t="s">
        <v>146</v>
      </c>
      <c r="J116" s="1" t="s">
        <v>100</v>
      </c>
      <c r="K116" s="1" t="str">
        <f>_xlfn.XLOOKUP($J116, items_clean!$A:$A, items_clean!$B:$B, "")</f>
        <v>HDR-CAP-LG</v>
      </c>
      <c r="L116" s="1" t="str">
        <f>_xlfn.XLOOKUP($J116, items_clean!$A:$A, items_clean!$C:$C, "")</f>
        <v>Cappuccino</v>
      </c>
      <c r="M116" s="1" t="str">
        <f>_xlfn.XLOOKUP($J116, items_clean!$A:$A, items_clean!$D:$D, "")</f>
        <v>Hot Drinks</v>
      </c>
      <c r="N116" s="1" t="str">
        <f>_xlfn.XLOOKUP($J116, items_clean!$A:$A, items_clean!$E:$E, "")</f>
        <v>Large</v>
      </c>
      <c r="O116" s="3">
        <v>1</v>
      </c>
      <c r="P116" s="2">
        <f>_xlfn.XLOOKUP($J116, items_clean!$A:$A, items_clean!$F:$F, "")</f>
        <v>3.75</v>
      </c>
      <c r="Q116" s="2">
        <f t="shared" si="10"/>
        <v>3.75</v>
      </c>
      <c r="R116" s="7">
        <f>_xlfn.XLOOKUP(K116, recipe_cost!$A:$A, recipe_cost!$B:$B, "")</f>
        <v>0.33599999999999997</v>
      </c>
      <c r="S116" s="10">
        <f t="shared" si="11"/>
        <v>0.33599999999999997</v>
      </c>
      <c r="T116" s="10">
        <f t="shared" si="12"/>
        <v>3.4140000000000001</v>
      </c>
      <c r="U116" s="9">
        <f t="shared" si="13"/>
        <v>0.91039999999999999</v>
      </c>
    </row>
    <row r="117" spans="1:21" x14ac:dyDescent="0.3">
      <c r="A117" s="1">
        <v>116</v>
      </c>
      <c r="B117" s="1" t="s">
        <v>252</v>
      </c>
      <c r="C117" s="4">
        <v>45335.304861111108</v>
      </c>
      <c r="D117" s="5">
        <f t="shared" si="7"/>
        <v>45335</v>
      </c>
      <c r="E117" s="3">
        <f t="shared" si="8"/>
        <v>7</v>
      </c>
      <c r="F117" s="1" t="str" cm="1">
        <f t="array" ref="F117">_xlfn.IFS(
E117&lt;11,"Morning",
E117&lt;15,"Afternoon",
TRUE,"Evening"
)</f>
        <v>Morning</v>
      </c>
      <c r="G117" s="3" t="str">
        <f t="shared" si="9"/>
        <v>Tue</v>
      </c>
      <c r="H117" s="1" t="s">
        <v>253</v>
      </c>
      <c r="I117" s="1" t="s">
        <v>149</v>
      </c>
      <c r="J117" s="1" t="s">
        <v>104</v>
      </c>
      <c r="K117" s="1" t="str">
        <f>_xlfn.XLOOKUP($J117, items_clean!$A:$A, items_clean!$B:$B, "")</f>
        <v>HDR-LAT-LG</v>
      </c>
      <c r="L117" s="1" t="str">
        <f>_xlfn.XLOOKUP($J117, items_clean!$A:$A, items_clean!$C:$C, "")</f>
        <v>Latte</v>
      </c>
      <c r="M117" s="1" t="str">
        <f>_xlfn.XLOOKUP($J117, items_clean!$A:$A, items_clean!$D:$D, "")</f>
        <v>Hot Drinks</v>
      </c>
      <c r="N117" s="1" t="str">
        <f>_xlfn.XLOOKUP($J117, items_clean!$A:$A, items_clean!$E:$E, "")</f>
        <v>Large</v>
      </c>
      <c r="O117" s="3">
        <v>1</v>
      </c>
      <c r="P117" s="2">
        <f>_xlfn.XLOOKUP($J117, items_clean!$A:$A, items_clean!$F:$F, "")</f>
        <v>3.75</v>
      </c>
      <c r="Q117" s="2">
        <f t="shared" si="10"/>
        <v>3.75</v>
      </c>
      <c r="R117" s="7">
        <f>_xlfn.XLOOKUP(K117, recipe_cost!$A:$A, recipe_cost!$B:$B, "")</f>
        <v>0.33599999999999997</v>
      </c>
      <c r="S117" s="10">
        <f t="shared" si="11"/>
        <v>0.33599999999999997</v>
      </c>
      <c r="T117" s="10">
        <f t="shared" si="12"/>
        <v>3.4140000000000001</v>
      </c>
      <c r="U117" s="9">
        <f t="shared" si="13"/>
        <v>0.91039999999999999</v>
      </c>
    </row>
    <row r="118" spans="1:21" x14ac:dyDescent="0.3">
      <c r="A118" s="1">
        <v>117</v>
      </c>
      <c r="B118" s="1" t="s">
        <v>255</v>
      </c>
      <c r="C118" s="4">
        <v>45335.308333333334</v>
      </c>
      <c r="D118" s="5">
        <f t="shared" si="7"/>
        <v>45335</v>
      </c>
      <c r="E118" s="3">
        <f t="shared" si="8"/>
        <v>7</v>
      </c>
      <c r="F118" s="1" t="str" cm="1">
        <f t="array" ref="F118">_xlfn.IFS(
E118&lt;11,"Morning",
E118&lt;15,"Afternoon",
TRUE,"Evening"
)</f>
        <v>Morning</v>
      </c>
      <c r="G118" s="3" t="str">
        <f t="shared" si="9"/>
        <v>Tue</v>
      </c>
      <c r="H118" s="1" t="s">
        <v>256</v>
      </c>
      <c r="I118" s="1" t="s">
        <v>146</v>
      </c>
      <c r="J118" s="1" t="s">
        <v>126</v>
      </c>
      <c r="K118" s="1" t="str">
        <f>_xlfn.XLOOKUP($J118, items_clean!$A:$A, items_clean!$B:$B, "")</f>
        <v>CDR-CMO-MD</v>
      </c>
      <c r="L118" s="1" t="str">
        <f>_xlfn.XLOOKUP($J118, items_clean!$A:$A, items_clean!$C:$C, "")</f>
        <v>Cold Mocha</v>
      </c>
      <c r="M118" s="1" t="str">
        <f>_xlfn.XLOOKUP($J118, items_clean!$A:$A, items_clean!$D:$D, "")</f>
        <v>Cold Drinks</v>
      </c>
      <c r="N118" s="1" t="str">
        <f>_xlfn.XLOOKUP($J118, items_clean!$A:$A, items_clean!$E:$E, "")</f>
        <v>Medium</v>
      </c>
      <c r="O118" s="3">
        <v>1</v>
      </c>
      <c r="P118" s="2">
        <f>_xlfn.XLOOKUP($J118, items_clean!$A:$A, items_clean!$F:$F, "")</f>
        <v>4</v>
      </c>
      <c r="Q118" s="2">
        <f t="shared" si="10"/>
        <v>4</v>
      </c>
      <c r="R118" s="7">
        <f>_xlfn.XLOOKUP(K118, recipe_cost!$A:$A, recipe_cost!$B:$B, "")</f>
        <v>0.4098</v>
      </c>
      <c r="S118" s="10">
        <f t="shared" si="11"/>
        <v>0.4098</v>
      </c>
      <c r="T118" s="10">
        <f t="shared" si="12"/>
        <v>3.5901999999999998</v>
      </c>
      <c r="U118" s="9">
        <f t="shared" si="13"/>
        <v>0.89754999999999996</v>
      </c>
    </row>
    <row r="119" spans="1:21" x14ac:dyDescent="0.3">
      <c r="A119" s="1">
        <v>118</v>
      </c>
      <c r="B119" s="1" t="s">
        <v>257</v>
      </c>
      <c r="C119" s="4">
        <v>45335.3125</v>
      </c>
      <c r="D119" s="5">
        <f t="shared" si="7"/>
        <v>45335</v>
      </c>
      <c r="E119" s="3">
        <f t="shared" si="8"/>
        <v>7</v>
      </c>
      <c r="F119" s="1" t="str" cm="1">
        <f t="array" ref="F119">_xlfn.IFS(
E119&lt;11,"Morning",
E119&lt;15,"Afternoon",
TRUE,"Evening"
)</f>
        <v>Morning</v>
      </c>
      <c r="G119" s="3" t="str">
        <f t="shared" si="9"/>
        <v>Tue</v>
      </c>
      <c r="H119" s="1" t="s">
        <v>145</v>
      </c>
      <c r="I119" s="1" t="s">
        <v>149</v>
      </c>
      <c r="J119" s="1" t="s">
        <v>135</v>
      </c>
      <c r="K119" s="1" t="str">
        <f>_xlfn.XLOOKUP($J119, items_clean!$A:$A, items_clean!$B:$B, "")</f>
        <v>SNK-SHC</v>
      </c>
      <c r="L119" s="1" t="str">
        <f>_xlfn.XLOOKUP($J119, items_clean!$A:$A, items_clean!$C:$C, "")</f>
        <v>Sandwich Ham&amp;Cheese</v>
      </c>
      <c r="M119" s="1" t="str">
        <f>_xlfn.XLOOKUP($J119, items_clean!$A:$A, items_clean!$D:$D, "")</f>
        <v>Snacks</v>
      </c>
      <c r="N119" s="1" t="str">
        <f>_xlfn.XLOOKUP($J119, items_clean!$A:$A, items_clean!$E:$E, "")</f>
        <v>N/A</v>
      </c>
      <c r="O119" s="3">
        <v>1</v>
      </c>
      <c r="P119" s="2">
        <f>_xlfn.XLOOKUP($J119, items_clean!$A:$A, items_clean!$F:$F, "")</f>
        <v>5.6</v>
      </c>
      <c r="Q119" s="2">
        <f t="shared" si="10"/>
        <v>5.6</v>
      </c>
      <c r="R119" s="7">
        <f>_xlfn.XLOOKUP(K119, recipe_cost!$A:$A, recipe_cost!$B:$B, "")</f>
        <v>2.0105</v>
      </c>
      <c r="S119" s="10">
        <f t="shared" si="11"/>
        <v>2.0105</v>
      </c>
      <c r="T119" s="10">
        <f t="shared" si="12"/>
        <v>3.5894999999999997</v>
      </c>
      <c r="U119" s="9">
        <f t="shared" si="13"/>
        <v>0.64098214285714283</v>
      </c>
    </row>
    <row r="120" spans="1:21" x14ac:dyDescent="0.3">
      <c r="A120" s="1">
        <v>119</v>
      </c>
      <c r="B120" s="1" t="s">
        <v>257</v>
      </c>
      <c r="C120" s="4">
        <v>45335.3125</v>
      </c>
      <c r="D120" s="5">
        <f t="shared" si="7"/>
        <v>45335</v>
      </c>
      <c r="E120" s="3">
        <f t="shared" si="8"/>
        <v>7</v>
      </c>
      <c r="F120" s="1" t="str" cm="1">
        <f t="array" ref="F120">_xlfn.IFS(
E120&lt;11,"Morning",
E120&lt;15,"Afternoon",
TRUE,"Evening"
)</f>
        <v>Morning</v>
      </c>
      <c r="G120" s="3" t="str">
        <f t="shared" si="9"/>
        <v>Tue</v>
      </c>
      <c r="H120" s="1" t="s">
        <v>145</v>
      </c>
      <c r="I120" s="1" t="s">
        <v>778</v>
      </c>
      <c r="J120" s="1" t="s">
        <v>116</v>
      </c>
      <c r="K120" s="1" t="str">
        <f>_xlfn.XLOOKUP($J120, items_clean!$A:$A, items_clean!$B:$B, "")</f>
        <v>HDR-WMO-MD</v>
      </c>
      <c r="L120" s="1" t="str">
        <f>_xlfn.XLOOKUP($J120, items_clean!$A:$A, items_clean!$C:$C, "")</f>
        <v>White Mocha</v>
      </c>
      <c r="M120" s="1" t="str">
        <f>_xlfn.XLOOKUP($J120, items_clean!$A:$A, items_clean!$D:$D, "")</f>
        <v>Hot Drinks</v>
      </c>
      <c r="N120" s="1" t="str">
        <f>_xlfn.XLOOKUP($J120, items_clean!$A:$A, items_clean!$E:$E, "")</f>
        <v>Medium</v>
      </c>
      <c r="O120" s="3">
        <v>1</v>
      </c>
      <c r="P120" s="2">
        <f>_xlfn.XLOOKUP($J120, items_clean!$A:$A, items_clean!$F:$F, "")</f>
        <v>4.5</v>
      </c>
      <c r="Q120" s="2">
        <f t="shared" si="10"/>
        <v>4.5</v>
      </c>
      <c r="R120" s="7">
        <f>_xlfn.XLOOKUP(K120, recipe_cost!$A:$A, recipe_cost!$B:$B, "")</f>
        <v>0.4098</v>
      </c>
      <c r="S120" s="10">
        <f t="shared" si="11"/>
        <v>0.4098</v>
      </c>
      <c r="T120" s="10">
        <f t="shared" si="12"/>
        <v>4.0902000000000003</v>
      </c>
      <c r="U120" s="9">
        <f t="shared" si="13"/>
        <v>0.90893333333333337</v>
      </c>
    </row>
    <row r="121" spans="1:21" x14ac:dyDescent="0.3">
      <c r="A121" s="1">
        <v>120</v>
      </c>
      <c r="B121" s="1" t="s">
        <v>258</v>
      </c>
      <c r="C121" s="4">
        <v>45335.315972222219</v>
      </c>
      <c r="D121" s="5">
        <f t="shared" si="7"/>
        <v>45335</v>
      </c>
      <c r="E121" s="3">
        <f t="shared" si="8"/>
        <v>7</v>
      </c>
      <c r="F121" s="1" t="str" cm="1">
        <f t="array" ref="F121">_xlfn.IFS(
E121&lt;11,"Morning",
E121&lt;15,"Afternoon",
TRUE,"Evening"
)</f>
        <v>Morning</v>
      </c>
      <c r="G121" s="3" t="str">
        <f t="shared" si="9"/>
        <v>Tue</v>
      </c>
      <c r="H121" s="1" t="s">
        <v>148</v>
      </c>
      <c r="I121" s="1" t="s">
        <v>146</v>
      </c>
      <c r="J121" s="1" t="s">
        <v>108</v>
      </c>
      <c r="K121" s="1" t="str">
        <f>_xlfn.XLOOKUP($J121, items_clean!$A:$A, items_clean!$B:$B, "")</f>
        <v>HDR-CRM-MD</v>
      </c>
      <c r="L121" s="1" t="str">
        <f>_xlfn.XLOOKUP($J121, items_clean!$A:$A, items_clean!$C:$C, "")</f>
        <v>Caramel Macchiato</v>
      </c>
      <c r="M121" s="1" t="str">
        <f>_xlfn.XLOOKUP($J121, items_clean!$A:$A, items_clean!$D:$D, "")</f>
        <v>Hot Drinks</v>
      </c>
      <c r="N121" s="1" t="str">
        <f>_xlfn.XLOOKUP($J121, items_clean!$A:$A, items_clean!$E:$E, "")</f>
        <v>Medium</v>
      </c>
      <c r="O121" s="3">
        <v>1</v>
      </c>
      <c r="P121" s="2">
        <f>_xlfn.XLOOKUP($J121, items_clean!$A:$A, items_clean!$F:$F, "")</f>
        <v>4.2</v>
      </c>
      <c r="Q121" s="2">
        <f t="shared" si="10"/>
        <v>4.2</v>
      </c>
      <c r="R121" s="7">
        <f>_xlfn.XLOOKUP(K121, recipe_cost!$A:$A, recipe_cost!$B:$B, "")</f>
        <v>0.4098</v>
      </c>
      <c r="S121" s="10">
        <f t="shared" si="11"/>
        <v>0.4098</v>
      </c>
      <c r="T121" s="10">
        <f t="shared" si="12"/>
        <v>3.7902</v>
      </c>
      <c r="U121" s="9">
        <f t="shared" si="13"/>
        <v>0.90242857142857136</v>
      </c>
    </row>
    <row r="122" spans="1:21" x14ac:dyDescent="0.3">
      <c r="A122" s="1">
        <v>121</v>
      </c>
      <c r="B122" s="1" t="s">
        <v>259</v>
      </c>
      <c r="C122" s="4">
        <v>45335.319444444445</v>
      </c>
      <c r="D122" s="5">
        <f t="shared" si="7"/>
        <v>45335</v>
      </c>
      <c r="E122" s="3">
        <f t="shared" si="8"/>
        <v>7</v>
      </c>
      <c r="F122" s="1" t="str" cm="1">
        <f t="array" ref="F122">_xlfn.IFS(
E122&lt;11,"Morning",
E122&lt;15,"Afternoon",
TRUE,"Evening"
)</f>
        <v>Morning</v>
      </c>
      <c r="G122" s="3" t="str">
        <f t="shared" si="9"/>
        <v>Tue</v>
      </c>
      <c r="H122" s="1" t="s">
        <v>151</v>
      </c>
      <c r="I122" s="1" t="s">
        <v>149</v>
      </c>
      <c r="J122" s="1" t="s">
        <v>132</v>
      </c>
      <c r="K122" s="1" t="str">
        <f>_xlfn.XLOOKUP($J122, items_clean!$A:$A, items_clean!$B:$B, "")</f>
        <v>CDR-LMN-MD</v>
      </c>
      <c r="L122" s="1" t="str">
        <f>_xlfn.XLOOKUP($J122, items_clean!$A:$A, items_clean!$C:$C, "")</f>
        <v>Lemonade</v>
      </c>
      <c r="M122" s="1" t="str">
        <f>_xlfn.XLOOKUP($J122, items_clean!$A:$A, items_clean!$D:$D, "")</f>
        <v>Cold Drinks</v>
      </c>
      <c r="N122" s="1" t="str">
        <f>_xlfn.XLOOKUP($J122, items_clean!$A:$A, items_clean!$E:$E, "")</f>
        <v>Medium</v>
      </c>
      <c r="O122" s="3">
        <v>1</v>
      </c>
      <c r="P122" s="2">
        <f>_xlfn.XLOOKUP($J122, items_clean!$A:$A, items_clean!$F:$F, "")</f>
        <v>3.35</v>
      </c>
      <c r="Q122" s="2">
        <f t="shared" si="10"/>
        <v>3.35</v>
      </c>
      <c r="R122" s="7">
        <f>_xlfn.XLOOKUP(K122, recipe_cost!$A:$A, recipe_cost!$B:$B, "")</f>
        <v>0.34499999999999997</v>
      </c>
      <c r="S122" s="10">
        <f t="shared" si="11"/>
        <v>0.34499999999999997</v>
      </c>
      <c r="T122" s="10">
        <f t="shared" si="12"/>
        <v>3.0049999999999999</v>
      </c>
      <c r="U122" s="9">
        <f t="shared" si="13"/>
        <v>0.89701492537313432</v>
      </c>
    </row>
    <row r="123" spans="1:21" x14ac:dyDescent="0.3">
      <c r="A123" s="1">
        <v>122</v>
      </c>
      <c r="B123" s="1" t="s">
        <v>260</v>
      </c>
      <c r="C123" s="4">
        <v>45335.322916666664</v>
      </c>
      <c r="D123" s="5">
        <f t="shared" si="7"/>
        <v>45335</v>
      </c>
      <c r="E123" s="3">
        <f t="shared" si="8"/>
        <v>7</v>
      </c>
      <c r="F123" s="1" t="str" cm="1">
        <f t="array" ref="F123">_xlfn.IFS(
E123&lt;11,"Morning",
E123&lt;15,"Afternoon",
TRUE,"Evening"
)</f>
        <v>Morning</v>
      </c>
      <c r="G123" s="3" t="str">
        <f t="shared" si="9"/>
        <v>Tue</v>
      </c>
      <c r="H123" s="1" t="s">
        <v>153</v>
      </c>
      <c r="I123" s="1" t="s">
        <v>146</v>
      </c>
      <c r="J123" s="1" t="s">
        <v>122</v>
      </c>
      <c r="K123" s="1" t="str">
        <f>_xlfn.XLOOKUP($J123, items_clean!$A:$A, items_clean!$B:$B, "")</f>
        <v>CDR-CCF-MD</v>
      </c>
      <c r="L123" s="1" t="str">
        <f>_xlfn.XLOOKUP($J123, items_clean!$A:$A, items_clean!$C:$C, "")</f>
        <v>Cold Coffee</v>
      </c>
      <c r="M123" s="1" t="str">
        <f>_xlfn.XLOOKUP($J123, items_clean!$A:$A, items_clean!$D:$D, "")</f>
        <v>Cold Drinks</v>
      </c>
      <c r="N123" s="1" t="str">
        <f>_xlfn.XLOOKUP($J123, items_clean!$A:$A, items_clean!$E:$E, "")</f>
        <v>Medium</v>
      </c>
      <c r="O123" s="3">
        <v>1</v>
      </c>
      <c r="P123" s="2">
        <f>_xlfn.XLOOKUP($J123, items_clean!$A:$A, items_clean!$F:$F, "")</f>
        <v>3.45</v>
      </c>
      <c r="Q123" s="2">
        <f t="shared" si="10"/>
        <v>3.45</v>
      </c>
      <c r="R123" s="7">
        <f>_xlfn.XLOOKUP(K123, recipe_cost!$A:$A, recipe_cost!$B:$B, "")</f>
        <v>0.252</v>
      </c>
      <c r="S123" s="10">
        <f t="shared" si="11"/>
        <v>0.252</v>
      </c>
      <c r="T123" s="10">
        <f t="shared" si="12"/>
        <v>3.1980000000000004</v>
      </c>
      <c r="U123" s="9">
        <f t="shared" si="13"/>
        <v>0.92695652173913046</v>
      </c>
    </row>
    <row r="124" spans="1:21" x14ac:dyDescent="0.3">
      <c r="A124" s="1">
        <v>123</v>
      </c>
      <c r="B124" s="1" t="s">
        <v>261</v>
      </c>
      <c r="C124" s="4">
        <v>45335.326388888891</v>
      </c>
      <c r="D124" s="5">
        <f t="shared" si="7"/>
        <v>45335</v>
      </c>
      <c r="E124" s="3">
        <f t="shared" si="8"/>
        <v>7</v>
      </c>
      <c r="F124" s="1" t="str" cm="1">
        <f t="array" ref="F124">_xlfn.IFS(
E124&lt;11,"Morning",
E124&lt;15,"Afternoon",
TRUE,"Evening"
)</f>
        <v>Morning</v>
      </c>
      <c r="G124" s="3" t="str">
        <f t="shared" si="9"/>
        <v>Tue</v>
      </c>
      <c r="H124" s="1" t="s">
        <v>155</v>
      </c>
      <c r="I124" s="1" t="s">
        <v>149</v>
      </c>
      <c r="J124" s="1" t="s">
        <v>111</v>
      </c>
      <c r="K124" s="1" t="str">
        <f>_xlfn.XLOOKUP($J124, items_clean!$A:$A, items_clean!$B:$B, "")</f>
        <v>HDR-ESP</v>
      </c>
      <c r="L124" s="1" t="str">
        <f>_xlfn.XLOOKUP($J124, items_clean!$A:$A, items_clean!$C:$C, "")</f>
        <v>Espresso</v>
      </c>
      <c r="M124" s="1" t="str">
        <f>_xlfn.XLOOKUP($J124, items_clean!$A:$A, items_clean!$D:$D, "")</f>
        <v>Hot Drinks</v>
      </c>
      <c r="N124" s="1" t="str">
        <f>_xlfn.XLOOKUP($J124, items_clean!$A:$A, items_clean!$E:$E, "")</f>
        <v>N/A</v>
      </c>
      <c r="O124" s="3">
        <v>1</v>
      </c>
      <c r="P124" s="2">
        <f>_xlfn.XLOOKUP($J124, items_clean!$A:$A, items_clean!$F:$F, "")</f>
        <v>2.15</v>
      </c>
      <c r="Q124" s="2">
        <f t="shared" si="10"/>
        <v>2.15</v>
      </c>
      <c r="R124" s="7">
        <f>_xlfn.XLOOKUP(K124, recipe_cost!$A:$A, recipe_cost!$B:$B, "")</f>
        <v>9.6000000000000002E-2</v>
      </c>
      <c r="S124" s="10">
        <f t="shared" si="11"/>
        <v>9.6000000000000002E-2</v>
      </c>
      <c r="T124" s="10">
        <f t="shared" si="12"/>
        <v>2.0539999999999998</v>
      </c>
      <c r="U124" s="9">
        <f t="shared" si="13"/>
        <v>0.9553488372093023</v>
      </c>
    </row>
    <row r="125" spans="1:21" x14ac:dyDescent="0.3">
      <c r="A125" s="1">
        <v>124</v>
      </c>
      <c r="B125" s="1" t="s">
        <v>261</v>
      </c>
      <c r="C125" s="4">
        <v>45335.326388888891</v>
      </c>
      <c r="D125" s="5">
        <f t="shared" si="7"/>
        <v>45335</v>
      </c>
      <c r="E125" s="3">
        <f t="shared" si="8"/>
        <v>7</v>
      </c>
      <c r="F125" s="1" t="str" cm="1">
        <f t="array" ref="F125">_xlfn.IFS(
E125&lt;11,"Morning",
E125&lt;15,"Afternoon",
TRUE,"Evening"
)</f>
        <v>Morning</v>
      </c>
      <c r="G125" s="3" t="str">
        <f t="shared" si="9"/>
        <v>Tue</v>
      </c>
      <c r="H125" s="1" t="s">
        <v>155</v>
      </c>
      <c r="I125" s="1" t="s">
        <v>778</v>
      </c>
      <c r="J125" s="1" t="s">
        <v>138</v>
      </c>
      <c r="K125" s="1" t="str">
        <f>_xlfn.XLOOKUP($J125, items_clean!$A:$A, items_clean!$B:$B, "")</f>
        <v>SNK-SSM</v>
      </c>
      <c r="L125" s="1" t="str">
        <f>_xlfn.XLOOKUP($J125, items_clean!$A:$A, items_clean!$C:$C, "")</f>
        <v>Sandwich Salami&amp;Mozzarella</v>
      </c>
      <c r="M125" s="1" t="str">
        <f>_xlfn.XLOOKUP($J125, items_clean!$A:$A, items_clean!$D:$D, "")</f>
        <v>Snacks</v>
      </c>
      <c r="N125" s="1" t="str">
        <f>_xlfn.XLOOKUP($J125, items_clean!$A:$A, items_clean!$E:$E, "")</f>
        <v>N/A</v>
      </c>
      <c r="O125" s="3">
        <v>1</v>
      </c>
      <c r="P125" s="2">
        <f>_xlfn.XLOOKUP($J125, items_clean!$A:$A, items_clean!$F:$F, "")</f>
        <v>5.5</v>
      </c>
      <c r="Q125" s="2">
        <f t="shared" si="10"/>
        <v>5.5</v>
      </c>
      <c r="R125" s="7">
        <f>_xlfn.XLOOKUP(K125, recipe_cost!$A:$A, recipe_cost!$B:$B, "")</f>
        <v>1.3120000000000001</v>
      </c>
      <c r="S125" s="10">
        <f t="shared" si="11"/>
        <v>1.3120000000000001</v>
      </c>
      <c r="T125" s="10">
        <f t="shared" si="12"/>
        <v>4.1879999999999997</v>
      </c>
      <c r="U125" s="9">
        <f t="shared" si="13"/>
        <v>0.76145454545454538</v>
      </c>
    </row>
    <row r="126" spans="1:21" x14ac:dyDescent="0.3">
      <c r="A126" s="1">
        <v>125</v>
      </c>
      <c r="B126" s="1" t="s">
        <v>262</v>
      </c>
      <c r="C126" s="4">
        <v>45335.330555555556</v>
      </c>
      <c r="D126" s="5">
        <f t="shared" si="7"/>
        <v>45335</v>
      </c>
      <c r="E126" s="3">
        <f t="shared" si="8"/>
        <v>7</v>
      </c>
      <c r="F126" s="1" t="str" cm="1">
        <f t="array" ref="F126">_xlfn.IFS(
E126&lt;11,"Morning",
E126&lt;15,"Afternoon",
TRUE,"Evening"
)</f>
        <v>Morning</v>
      </c>
      <c r="G126" s="3" t="str">
        <f t="shared" si="9"/>
        <v>Tue</v>
      </c>
      <c r="H126" s="1" t="s">
        <v>157</v>
      </c>
      <c r="I126" s="1" t="s">
        <v>146</v>
      </c>
      <c r="J126" s="1" t="s">
        <v>96</v>
      </c>
      <c r="K126" s="1" t="str">
        <f>_xlfn.XLOOKUP($J126, items_clean!$A:$A, items_clean!$B:$B, "")</f>
        <v>HDR-CAP-MD</v>
      </c>
      <c r="L126" s="1" t="str">
        <f>_xlfn.XLOOKUP($J126, items_clean!$A:$A, items_clean!$C:$C, "")</f>
        <v>Cappuccino</v>
      </c>
      <c r="M126" s="1" t="str">
        <f>_xlfn.XLOOKUP($J126, items_clean!$A:$A, items_clean!$D:$D, "")</f>
        <v>Hot Drinks</v>
      </c>
      <c r="N126" s="1" t="str">
        <f>_xlfn.XLOOKUP($J126, items_clean!$A:$A, items_clean!$E:$E, "")</f>
        <v>Medium</v>
      </c>
      <c r="O126" s="3">
        <v>1</v>
      </c>
      <c r="P126" s="2">
        <f>_xlfn.XLOOKUP($J126, items_clean!$A:$A, items_clean!$F:$F, "")</f>
        <v>3.45</v>
      </c>
      <c r="Q126" s="2">
        <f t="shared" si="10"/>
        <v>3.45</v>
      </c>
      <c r="R126" s="7">
        <f>_xlfn.XLOOKUP(K126, recipe_cost!$A:$A, recipe_cost!$B:$B, "")</f>
        <v>0.252</v>
      </c>
      <c r="S126" s="10">
        <f t="shared" si="11"/>
        <v>0.252</v>
      </c>
      <c r="T126" s="10">
        <f t="shared" si="12"/>
        <v>3.1980000000000004</v>
      </c>
      <c r="U126" s="9">
        <f t="shared" si="13"/>
        <v>0.92695652173913046</v>
      </c>
    </row>
    <row r="127" spans="1:21" x14ac:dyDescent="0.3">
      <c r="A127" s="1">
        <v>126</v>
      </c>
      <c r="B127" s="1" t="s">
        <v>263</v>
      </c>
      <c r="C127" s="4">
        <v>45335.334027777775</v>
      </c>
      <c r="D127" s="5">
        <f t="shared" si="7"/>
        <v>45335</v>
      </c>
      <c r="E127" s="3">
        <f t="shared" si="8"/>
        <v>8</v>
      </c>
      <c r="F127" s="1" t="str" cm="1">
        <f t="array" ref="F127">_xlfn.IFS(
E127&lt;11,"Morning",
E127&lt;15,"Afternoon",
TRUE,"Evening"
)</f>
        <v>Morning</v>
      </c>
      <c r="G127" s="3" t="str">
        <f t="shared" si="9"/>
        <v>Tue</v>
      </c>
      <c r="H127" s="1" t="s">
        <v>159</v>
      </c>
      <c r="I127" s="1" t="s">
        <v>149</v>
      </c>
      <c r="J127" s="1" t="s">
        <v>129</v>
      </c>
      <c r="K127" s="1" t="str">
        <f>_xlfn.XLOOKUP($J127, items_clean!$A:$A, items_clean!$B:$B, "")</f>
        <v>CDR-ICT-MD</v>
      </c>
      <c r="L127" s="1" t="str">
        <f>_xlfn.XLOOKUP($J127, items_clean!$A:$A, items_clean!$C:$C, "")</f>
        <v>Iced Tea</v>
      </c>
      <c r="M127" s="1" t="str">
        <f>_xlfn.XLOOKUP($J127, items_clean!$A:$A, items_clean!$D:$D, "")</f>
        <v>Cold Drinks</v>
      </c>
      <c r="N127" s="1" t="str">
        <f>_xlfn.XLOOKUP($J127, items_clean!$A:$A, items_clean!$E:$E, "")</f>
        <v>Medium</v>
      </c>
      <c r="O127" s="3">
        <v>1</v>
      </c>
      <c r="P127" s="2">
        <f>_xlfn.XLOOKUP($J127, items_clean!$A:$A, items_clean!$F:$F, "")</f>
        <v>3.25</v>
      </c>
      <c r="Q127" s="2">
        <f t="shared" si="10"/>
        <v>3.25</v>
      </c>
      <c r="R127" s="7">
        <f>_xlfn.XLOOKUP(K127, recipe_cost!$A:$A, recipe_cost!$B:$B, "")</f>
        <v>0.19</v>
      </c>
      <c r="S127" s="10">
        <f t="shared" si="11"/>
        <v>0.19</v>
      </c>
      <c r="T127" s="10">
        <f t="shared" si="12"/>
        <v>3.06</v>
      </c>
      <c r="U127" s="9">
        <f t="shared" si="13"/>
        <v>0.94153846153846155</v>
      </c>
    </row>
    <row r="128" spans="1:21" x14ac:dyDescent="0.3">
      <c r="A128" s="1">
        <v>127</v>
      </c>
      <c r="B128" s="1" t="s">
        <v>264</v>
      </c>
      <c r="C128" s="4">
        <v>45335.337500000001</v>
      </c>
      <c r="D128" s="5">
        <f t="shared" si="7"/>
        <v>45335</v>
      </c>
      <c r="E128" s="3">
        <f t="shared" si="8"/>
        <v>8</v>
      </c>
      <c r="F128" s="1" t="str" cm="1">
        <f t="array" ref="F128">_xlfn.IFS(
E128&lt;11,"Morning",
E128&lt;15,"Afternoon",
TRUE,"Evening"
)</f>
        <v>Morning</v>
      </c>
      <c r="G128" s="3" t="str">
        <f t="shared" si="9"/>
        <v>Tue</v>
      </c>
      <c r="H128" s="1" t="s">
        <v>161</v>
      </c>
      <c r="I128" s="1" t="s">
        <v>146</v>
      </c>
      <c r="J128" s="1" t="s">
        <v>102</v>
      </c>
      <c r="K128" s="1" t="str">
        <f>_xlfn.XLOOKUP($J128, items_clean!$A:$A, items_clean!$B:$B, "")</f>
        <v>HDR-LAT-MD</v>
      </c>
      <c r="L128" s="1" t="str">
        <f>_xlfn.XLOOKUP($J128, items_clean!$A:$A, items_clean!$C:$C, "")</f>
        <v>Latte</v>
      </c>
      <c r="M128" s="1" t="str">
        <f>_xlfn.XLOOKUP($J128, items_clean!$A:$A, items_clean!$D:$D, "")</f>
        <v>Hot Drinks</v>
      </c>
      <c r="N128" s="1" t="str">
        <f>_xlfn.XLOOKUP($J128, items_clean!$A:$A, items_clean!$E:$E, "")</f>
        <v>Medium</v>
      </c>
      <c r="O128" s="3">
        <v>1</v>
      </c>
      <c r="P128" s="2">
        <f>_xlfn.XLOOKUP($J128, items_clean!$A:$A, items_clean!$F:$F, "")</f>
        <v>3.45</v>
      </c>
      <c r="Q128" s="2">
        <f t="shared" si="10"/>
        <v>3.45</v>
      </c>
      <c r="R128" s="7">
        <f>_xlfn.XLOOKUP(K128, recipe_cost!$A:$A, recipe_cost!$B:$B, "")</f>
        <v>0.252</v>
      </c>
      <c r="S128" s="10">
        <f t="shared" si="11"/>
        <v>0.252</v>
      </c>
      <c r="T128" s="10">
        <f t="shared" si="12"/>
        <v>3.1980000000000004</v>
      </c>
      <c r="U128" s="9">
        <f t="shared" si="13"/>
        <v>0.92695652173913046</v>
      </c>
    </row>
    <row r="129" spans="1:21" x14ac:dyDescent="0.3">
      <c r="A129" s="1">
        <v>128</v>
      </c>
      <c r="B129" s="1" t="s">
        <v>266</v>
      </c>
      <c r="C129" s="4">
        <v>45335.34097222222</v>
      </c>
      <c r="D129" s="5">
        <f t="shared" si="7"/>
        <v>45335</v>
      </c>
      <c r="E129" s="3">
        <f t="shared" si="8"/>
        <v>8</v>
      </c>
      <c r="F129" s="1" t="str" cm="1">
        <f t="array" ref="F129">_xlfn.IFS(
E129&lt;11,"Morning",
E129&lt;15,"Afternoon",
TRUE,"Evening"
)</f>
        <v>Morning</v>
      </c>
      <c r="G129" s="3" t="str">
        <f t="shared" si="9"/>
        <v>Tue</v>
      </c>
      <c r="H129" s="1" t="s">
        <v>163</v>
      </c>
      <c r="I129" s="1" t="s">
        <v>149</v>
      </c>
      <c r="J129" s="1" t="s">
        <v>134</v>
      </c>
      <c r="K129" s="1" t="str">
        <f>_xlfn.XLOOKUP($J129, items_clean!$A:$A, items_clean!$B:$B, "")</f>
        <v>CDR-LMN-LG</v>
      </c>
      <c r="L129" s="1" t="str">
        <f>_xlfn.XLOOKUP($J129, items_clean!$A:$A, items_clean!$C:$C, "")</f>
        <v>Lemonade</v>
      </c>
      <c r="M129" s="1" t="str">
        <f>_xlfn.XLOOKUP($J129, items_clean!$A:$A, items_clean!$D:$D, "")</f>
        <v>Cold Drinks</v>
      </c>
      <c r="N129" s="1" t="str">
        <f>_xlfn.XLOOKUP($J129, items_clean!$A:$A, items_clean!$E:$E, "")</f>
        <v>Large</v>
      </c>
      <c r="O129" s="3">
        <v>1</v>
      </c>
      <c r="P129" s="2">
        <f>_xlfn.XLOOKUP($J129, items_clean!$A:$A, items_clean!$F:$F, "")</f>
        <v>3.75</v>
      </c>
      <c r="Q129" s="2">
        <f t="shared" si="10"/>
        <v>3.75</v>
      </c>
      <c r="R129" s="7">
        <f>_xlfn.XLOOKUP(K129, recipe_cost!$A:$A, recipe_cost!$B:$B, "")</f>
        <v>0.36</v>
      </c>
      <c r="S129" s="10">
        <f t="shared" si="11"/>
        <v>0.36</v>
      </c>
      <c r="T129" s="10">
        <f t="shared" si="12"/>
        <v>3.39</v>
      </c>
      <c r="U129" s="9">
        <f t="shared" si="13"/>
        <v>0.90400000000000003</v>
      </c>
    </row>
    <row r="130" spans="1:21" x14ac:dyDescent="0.3">
      <c r="A130" s="1">
        <v>129</v>
      </c>
      <c r="B130" s="1" t="s">
        <v>267</v>
      </c>
      <c r="C130" s="4">
        <v>45335.345138888886</v>
      </c>
      <c r="D130" s="5">
        <f t="shared" si="7"/>
        <v>45335</v>
      </c>
      <c r="E130" s="3">
        <f t="shared" si="8"/>
        <v>8</v>
      </c>
      <c r="F130" s="1" t="str" cm="1">
        <f t="array" ref="F130">_xlfn.IFS(
E130&lt;11,"Morning",
E130&lt;15,"Afternoon",
TRUE,"Evening"
)</f>
        <v>Morning</v>
      </c>
      <c r="G130" s="3" t="str">
        <f t="shared" si="9"/>
        <v>Tue</v>
      </c>
      <c r="H130" s="1" t="s">
        <v>165</v>
      </c>
      <c r="I130" s="1" t="s">
        <v>146</v>
      </c>
      <c r="J130" s="1" t="s">
        <v>128</v>
      </c>
      <c r="K130" s="1" t="str">
        <f>_xlfn.XLOOKUP($J130, items_clean!$A:$A, items_clean!$B:$B, "")</f>
        <v>CDR-CMO-LG</v>
      </c>
      <c r="L130" s="1" t="str">
        <f>_xlfn.XLOOKUP($J130, items_clean!$A:$A, items_clean!$C:$C, "")</f>
        <v>Cold Mocha</v>
      </c>
      <c r="M130" s="1" t="str">
        <f>_xlfn.XLOOKUP($J130, items_clean!$A:$A, items_clean!$D:$D, "")</f>
        <v>Cold Drinks</v>
      </c>
      <c r="N130" s="1" t="str">
        <f>_xlfn.XLOOKUP($J130, items_clean!$A:$A, items_clean!$E:$E, "")</f>
        <v>Large</v>
      </c>
      <c r="O130" s="3">
        <v>1</v>
      </c>
      <c r="P130" s="2">
        <f>_xlfn.XLOOKUP($J130, items_clean!$A:$A, items_clean!$F:$F, "")</f>
        <v>4.5999999999999996</v>
      </c>
      <c r="Q130" s="2">
        <f t="shared" si="10"/>
        <v>4.5999999999999996</v>
      </c>
      <c r="R130" s="7">
        <f>_xlfn.XLOOKUP(K130, recipe_cost!$A:$A, recipe_cost!$B:$B, "")</f>
        <v>0.56669999999999998</v>
      </c>
      <c r="S130" s="10">
        <f t="shared" si="11"/>
        <v>0.56669999999999998</v>
      </c>
      <c r="T130" s="10">
        <f t="shared" si="12"/>
        <v>4.0332999999999997</v>
      </c>
      <c r="U130" s="9">
        <f t="shared" si="13"/>
        <v>0.87680434782608696</v>
      </c>
    </row>
    <row r="131" spans="1:21" x14ac:dyDescent="0.3">
      <c r="A131" s="1">
        <v>130</v>
      </c>
      <c r="B131" s="1" t="s">
        <v>268</v>
      </c>
      <c r="C131" s="4">
        <v>45335.348611111112</v>
      </c>
      <c r="D131" s="5">
        <f t="shared" ref="D131:D194" si="14">INT(C131)</f>
        <v>45335</v>
      </c>
      <c r="E131" s="3">
        <f t="shared" ref="E131:E194" si="15">HOUR(C131)</f>
        <v>8</v>
      </c>
      <c r="F131" s="1" t="str" cm="1">
        <f t="array" ref="F131">_xlfn.IFS(
E131&lt;11,"Morning",
E131&lt;15,"Afternoon",
TRUE,"Evening"
)</f>
        <v>Morning</v>
      </c>
      <c r="G131" s="3" t="str">
        <f t="shared" ref="G131:G194" si="16">TEXT(C131,"ddd")</f>
        <v>Tue</v>
      </c>
      <c r="H131" s="1" t="s">
        <v>167</v>
      </c>
      <c r="I131" s="1" t="s">
        <v>149</v>
      </c>
      <c r="J131" s="1" t="s">
        <v>105</v>
      </c>
      <c r="K131" s="1" t="str">
        <f>_xlfn.XLOOKUP($J131, items_clean!$A:$A, items_clean!$B:$B, "")</f>
        <v>HDR-FLT</v>
      </c>
      <c r="L131" s="1" t="str">
        <f>_xlfn.XLOOKUP($J131, items_clean!$A:$A, items_clean!$C:$C, "")</f>
        <v>Flat White</v>
      </c>
      <c r="M131" s="1" t="str">
        <f>_xlfn.XLOOKUP($J131, items_clean!$A:$A, items_clean!$D:$D, "")</f>
        <v>Hot Drinks</v>
      </c>
      <c r="N131" s="1" t="str">
        <f>_xlfn.XLOOKUP($J131, items_clean!$A:$A, items_clean!$E:$E, "")</f>
        <v>N/A</v>
      </c>
      <c r="O131" s="3">
        <v>1</v>
      </c>
      <c r="P131" s="2">
        <f>_xlfn.XLOOKUP($J131, items_clean!$A:$A, items_clean!$F:$F, "")</f>
        <v>3.15</v>
      </c>
      <c r="Q131" s="2">
        <f t="shared" ref="Q131:Q194" si="17">O131*P131</f>
        <v>3.15</v>
      </c>
      <c r="R131" s="7">
        <f>_xlfn.XLOOKUP(K131, recipe_cost!$A:$A, recipe_cost!$B:$B, "")</f>
        <v>0.28799999999999998</v>
      </c>
      <c r="S131" s="10">
        <f t="shared" ref="S131:S194" si="18">O131 * R131</f>
        <v>0.28799999999999998</v>
      </c>
      <c r="T131" s="10">
        <f t="shared" ref="T131:T194" si="19">Q131-S131</f>
        <v>2.8620000000000001</v>
      </c>
      <c r="U131" s="9">
        <f t="shared" ref="U131:U194" si="20">IF(Q131=0,"",T131/Q131)</f>
        <v>0.90857142857142859</v>
      </c>
    </row>
    <row r="132" spans="1:21" x14ac:dyDescent="0.3">
      <c r="A132" s="1">
        <v>131</v>
      </c>
      <c r="B132" s="1" t="s">
        <v>268</v>
      </c>
      <c r="C132" s="4">
        <v>45335.348611111112</v>
      </c>
      <c r="D132" s="5">
        <f t="shared" si="14"/>
        <v>45335</v>
      </c>
      <c r="E132" s="3">
        <f t="shared" si="15"/>
        <v>8</v>
      </c>
      <c r="F132" s="1" t="str" cm="1">
        <f t="array" ref="F132">_xlfn.IFS(
E132&lt;11,"Morning",
E132&lt;15,"Afternoon",
TRUE,"Evening"
)</f>
        <v>Morning</v>
      </c>
      <c r="G132" s="3" t="str">
        <f t="shared" si="16"/>
        <v>Tue</v>
      </c>
      <c r="H132" s="1" t="s">
        <v>167</v>
      </c>
      <c r="I132" s="1" t="s">
        <v>778</v>
      </c>
      <c r="J132" s="1" t="s">
        <v>118</v>
      </c>
      <c r="K132" s="1" t="str">
        <f>_xlfn.XLOOKUP($J132, items_clean!$A:$A, items_clean!$B:$B, "")</f>
        <v>HDR-WMO-LG</v>
      </c>
      <c r="L132" s="1" t="str">
        <f>_xlfn.XLOOKUP($J132, items_clean!$A:$A, items_clean!$C:$C, "")</f>
        <v>White Mocha</v>
      </c>
      <c r="M132" s="1" t="str">
        <f>_xlfn.XLOOKUP($J132, items_clean!$A:$A, items_clean!$D:$D, "")</f>
        <v>Hot Drinks</v>
      </c>
      <c r="N132" s="1" t="str">
        <f>_xlfn.XLOOKUP($J132, items_clean!$A:$A, items_clean!$E:$E, "")</f>
        <v>Large</v>
      </c>
      <c r="O132" s="3">
        <v>1</v>
      </c>
      <c r="P132" s="2">
        <f>_xlfn.XLOOKUP($J132, items_clean!$A:$A, items_clean!$F:$F, "")</f>
        <v>4.7</v>
      </c>
      <c r="Q132" s="2">
        <f t="shared" si="17"/>
        <v>4.7</v>
      </c>
      <c r="R132" s="7">
        <f>_xlfn.XLOOKUP(K132, recipe_cost!$A:$A, recipe_cost!$B:$B, "")</f>
        <v>0.56669999999999998</v>
      </c>
      <c r="S132" s="10">
        <f t="shared" si="18"/>
        <v>0.56669999999999998</v>
      </c>
      <c r="T132" s="10">
        <f t="shared" si="19"/>
        <v>4.1333000000000002</v>
      </c>
      <c r="U132" s="9">
        <f t="shared" si="20"/>
        <v>0.87942553191489359</v>
      </c>
    </row>
    <row r="133" spans="1:21" x14ac:dyDescent="0.3">
      <c r="A133" s="1">
        <v>132</v>
      </c>
      <c r="B133" s="1" t="s">
        <v>269</v>
      </c>
      <c r="C133" s="4">
        <v>45335.352083333331</v>
      </c>
      <c r="D133" s="5">
        <f t="shared" si="14"/>
        <v>45335</v>
      </c>
      <c r="E133" s="3">
        <f t="shared" si="15"/>
        <v>8</v>
      </c>
      <c r="F133" s="1" t="str" cm="1">
        <f t="array" ref="F133">_xlfn.IFS(
E133&lt;11,"Morning",
E133&lt;15,"Afternoon",
TRUE,"Evening"
)</f>
        <v>Morning</v>
      </c>
      <c r="G133" s="3" t="str">
        <f t="shared" si="16"/>
        <v>Tue</v>
      </c>
      <c r="H133" s="1" t="s">
        <v>249</v>
      </c>
      <c r="I133" s="1" t="s">
        <v>146</v>
      </c>
      <c r="J133" s="1" t="s">
        <v>115</v>
      </c>
      <c r="K133" s="1" t="str">
        <f>_xlfn.XLOOKUP($J133, items_clean!$A:$A, items_clean!$B:$B, "")</f>
        <v>HDR-MOC-LG</v>
      </c>
      <c r="L133" s="1" t="str">
        <f>_xlfn.XLOOKUP($J133, items_clean!$A:$A, items_clean!$C:$C, "")</f>
        <v>Mocha</v>
      </c>
      <c r="M133" s="1" t="str">
        <f>_xlfn.XLOOKUP($J133, items_clean!$A:$A, items_clean!$D:$D, "")</f>
        <v>Hot Drinks</v>
      </c>
      <c r="N133" s="1" t="str">
        <f>_xlfn.XLOOKUP($J133, items_clean!$A:$A, items_clean!$E:$E, "")</f>
        <v>Large</v>
      </c>
      <c r="O133" s="3">
        <v>1</v>
      </c>
      <c r="P133" s="2">
        <f>_xlfn.XLOOKUP($J133, items_clean!$A:$A, items_clean!$F:$F, "")</f>
        <v>4.5999999999999996</v>
      </c>
      <c r="Q133" s="2">
        <f t="shared" si="17"/>
        <v>4.5999999999999996</v>
      </c>
      <c r="R133" s="7">
        <f>_xlfn.XLOOKUP(K133, recipe_cost!$A:$A, recipe_cost!$B:$B, "")</f>
        <v>0.56669999999999998</v>
      </c>
      <c r="S133" s="10">
        <f t="shared" si="18"/>
        <v>0.56669999999999998</v>
      </c>
      <c r="T133" s="10">
        <f t="shared" si="19"/>
        <v>4.0332999999999997</v>
      </c>
      <c r="U133" s="9">
        <f t="shared" si="20"/>
        <v>0.87680434782608696</v>
      </c>
    </row>
    <row r="134" spans="1:21" x14ac:dyDescent="0.3">
      <c r="A134" s="1">
        <v>133</v>
      </c>
      <c r="B134" s="1" t="s">
        <v>270</v>
      </c>
      <c r="C134" s="4">
        <v>45335.355555555558</v>
      </c>
      <c r="D134" s="5">
        <f t="shared" si="14"/>
        <v>45335</v>
      </c>
      <c r="E134" s="3">
        <f t="shared" si="15"/>
        <v>8</v>
      </c>
      <c r="F134" s="1" t="str" cm="1">
        <f t="array" ref="F134">_xlfn.IFS(
E134&lt;11,"Morning",
E134&lt;15,"Afternoon",
TRUE,"Evening"
)</f>
        <v>Morning</v>
      </c>
      <c r="G134" s="3" t="str">
        <f t="shared" si="16"/>
        <v>Tue</v>
      </c>
      <c r="H134" s="1" t="s">
        <v>145</v>
      </c>
      <c r="I134" s="1" t="s">
        <v>149</v>
      </c>
      <c r="J134" s="1" t="s">
        <v>110</v>
      </c>
      <c r="K134" s="1" t="str">
        <f>_xlfn.XLOOKUP($J134, items_clean!$A:$A, items_clean!$B:$B, "")</f>
        <v>HDR-CRM-LG</v>
      </c>
      <c r="L134" s="1" t="str">
        <f>_xlfn.XLOOKUP($J134, items_clean!$A:$A, items_clean!$C:$C, "")</f>
        <v>Caramel Macchiato</v>
      </c>
      <c r="M134" s="1" t="str">
        <f>_xlfn.XLOOKUP($J134, items_clean!$A:$A, items_clean!$D:$D, "")</f>
        <v>Hot Drinks</v>
      </c>
      <c r="N134" s="1" t="str">
        <f>_xlfn.XLOOKUP($J134, items_clean!$A:$A, items_clean!$E:$E, "")</f>
        <v>Large</v>
      </c>
      <c r="O134" s="3">
        <v>1</v>
      </c>
      <c r="P134" s="2">
        <f>_xlfn.XLOOKUP($J134, items_clean!$A:$A, items_clean!$F:$F, "")</f>
        <v>4.5999999999999996</v>
      </c>
      <c r="Q134" s="2">
        <f t="shared" si="17"/>
        <v>4.5999999999999996</v>
      </c>
      <c r="R134" s="7">
        <f>_xlfn.XLOOKUP(K134, recipe_cost!$A:$A, recipe_cost!$B:$B, "")</f>
        <v>0.56669999999999998</v>
      </c>
      <c r="S134" s="10">
        <f t="shared" si="18"/>
        <v>0.56669999999999998</v>
      </c>
      <c r="T134" s="10">
        <f t="shared" si="19"/>
        <v>4.0332999999999997</v>
      </c>
      <c r="U134" s="9">
        <f t="shared" si="20"/>
        <v>0.87680434782608696</v>
      </c>
    </row>
    <row r="135" spans="1:21" x14ac:dyDescent="0.3">
      <c r="A135" s="1">
        <v>134</v>
      </c>
      <c r="B135" s="1" t="s">
        <v>271</v>
      </c>
      <c r="C135" s="4">
        <v>45335.359722222223</v>
      </c>
      <c r="D135" s="5">
        <f t="shared" si="14"/>
        <v>45335</v>
      </c>
      <c r="E135" s="3">
        <f t="shared" si="15"/>
        <v>8</v>
      </c>
      <c r="F135" s="1" t="str" cm="1">
        <f t="array" ref="F135">_xlfn.IFS(
E135&lt;11,"Morning",
E135&lt;15,"Afternoon",
TRUE,"Evening"
)</f>
        <v>Morning</v>
      </c>
      <c r="G135" s="3" t="str">
        <f t="shared" si="16"/>
        <v>Tue</v>
      </c>
      <c r="H135" s="1" t="s">
        <v>256</v>
      </c>
      <c r="I135" s="1" t="s">
        <v>778</v>
      </c>
      <c r="J135" s="1" t="s">
        <v>131</v>
      </c>
      <c r="K135" s="1" t="str">
        <f>_xlfn.XLOOKUP($J135, items_clean!$A:$A, items_clean!$B:$B, "")</f>
        <v>CDR-ICT-LG</v>
      </c>
      <c r="L135" s="1" t="str">
        <f>_xlfn.XLOOKUP($J135, items_clean!$A:$A, items_clean!$C:$C, "")</f>
        <v>Iced Tea</v>
      </c>
      <c r="M135" s="1" t="str">
        <f>_xlfn.XLOOKUP($J135, items_clean!$A:$A, items_clean!$D:$D, "")</f>
        <v>Cold Drinks</v>
      </c>
      <c r="N135" s="1" t="str">
        <f>_xlfn.XLOOKUP($J135, items_clean!$A:$A, items_clean!$E:$E, "")</f>
        <v>Large</v>
      </c>
      <c r="O135" s="3">
        <v>1</v>
      </c>
      <c r="P135" s="2">
        <f>_xlfn.XLOOKUP($J135, items_clean!$A:$A, items_clean!$F:$F, "")</f>
        <v>3.55</v>
      </c>
      <c r="Q135" s="2">
        <f t="shared" si="17"/>
        <v>3.55</v>
      </c>
      <c r="R135" s="7">
        <f>_xlfn.XLOOKUP(K135, recipe_cost!$A:$A, recipe_cost!$B:$B, "")</f>
        <v>0.26984999999999998</v>
      </c>
      <c r="S135" s="10">
        <f t="shared" si="18"/>
        <v>0.26984999999999998</v>
      </c>
      <c r="T135" s="10">
        <f t="shared" si="19"/>
        <v>3.2801499999999999</v>
      </c>
      <c r="U135" s="9">
        <f t="shared" si="20"/>
        <v>0.92398591549295772</v>
      </c>
    </row>
    <row r="136" spans="1:21" x14ac:dyDescent="0.3">
      <c r="A136" s="1">
        <v>135</v>
      </c>
      <c r="B136" s="1" t="s">
        <v>273</v>
      </c>
      <c r="C136" s="4">
        <v>45335.363194444442</v>
      </c>
      <c r="D136" s="5">
        <f t="shared" si="14"/>
        <v>45335</v>
      </c>
      <c r="E136" s="3">
        <f t="shared" si="15"/>
        <v>8</v>
      </c>
      <c r="F136" s="1" t="str" cm="1">
        <f t="array" ref="F136">_xlfn.IFS(
E136&lt;11,"Morning",
E136&lt;15,"Afternoon",
TRUE,"Evening"
)</f>
        <v>Morning</v>
      </c>
      <c r="G136" s="3" t="str">
        <f t="shared" si="16"/>
        <v>Tue</v>
      </c>
      <c r="H136" s="1" t="s">
        <v>253</v>
      </c>
      <c r="I136" s="1" t="s">
        <v>149</v>
      </c>
      <c r="J136" s="1" t="s">
        <v>121</v>
      </c>
      <c r="K136" s="1" t="str">
        <f>_xlfn.XLOOKUP($J136, items_clean!$A:$A, items_clean!$B:$B, "")</f>
        <v>HDR-HCH-LG</v>
      </c>
      <c r="L136" s="1" t="str">
        <f>_xlfn.XLOOKUP($J136, items_clean!$A:$A, items_clean!$C:$C, "")</f>
        <v>Hot Chocolate</v>
      </c>
      <c r="M136" s="1" t="str">
        <f>_xlfn.XLOOKUP($J136, items_clean!$A:$A, items_clean!$D:$D, "")</f>
        <v>Hot Drinks</v>
      </c>
      <c r="N136" s="1" t="str">
        <f>_xlfn.XLOOKUP($J136, items_clean!$A:$A, items_clean!$E:$E, "")</f>
        <v>Large</v>
      </c>
      <c r="O136" s="3">
        <v>1</v>
      </c>
      <c r="P136" s="2">
        <f>_xlfn.XLOOKUP($J136, items_clean!$A:$A, items_clean!$F:$F, "")</f>
        <v>4.5999999999999996</v>
      </c>
      <c r="Q136" s="2">
        <f t="shared" si="17"/>
        <v>4.5999999999999996</v>
      </c>
      <c r="R136" s="7">
        <f>_xlfn.XLOOKUP(K136, recipe_cost!$A:$A, recipe_cost!$B:$B, "")</f>
        <v>1.4809999999999999</v>
      </c>
      <c r="S136" s="10">
        <f t="shared" si="18"/>
        <v>1.4809999999999999</v>
      </c>
      <c r="T136" s="10">
        <f t="shared" si="19"/>
        <v>3.1189999999999998</v>
      </c>
      <c r="U136" s="9">
        <f t="shared" si="20"/>
        <v>0.67804347826086953</v>
      </c>
    </row>
    <row r="137" spans="1:21" x14ac:dyDescent="0.3">
      <c r="A137" s="1">
        <v>136</v>
      </c>
      <c r="B137" s="1" t="s">
        <v>274</v>
      </c>
      <c r="C137" s="4">
        <v>45335.366666666669</v>
      </c>
      <c r="D137" s="5">
        <f t="shared" si="14"/>
        <v>45335</v>
      </c>
      <c r="E137" s="3">
        <f t="shared" si="15"/>
        <v>8</v>
      </c>
      <c r="F137" s="1" t="str" cm="1">
        <f t="array" ref="F137">_xlfn.IFS(
E137&lt;11,"Morning",
E137&lt;15,"Afternoon",
TRUE,"Evening"
)</f>
        <v>Morning</v>
      </c>
      <c r="G137" s="3" t="str">
        <f t="shared" si="16"/>
        <v>Tue</v>
      </c>
      <c r="H137" s="1" t="s">
        <v>148</v>
      </c>
      <c r="I137" s="1" t="s">
        <v>146</v>
      </c>
      <c r="J137" s="1" t="s">
        <v>113</v>
      </c>
      <c r="K137" s="1" t="str">
        <f>_xlfn.XLOOKUP($J137, items_clean!$A:$A, items_clean!$B:$B, "")</f>
        <v>HDR-MOC-MD</v>
      </c>
      <c r="L137" s="1" t="str">
        <f>_xlfn.XLOOKUP($J137, items_clean!$A:$A, items_clean!$C:$C, "")</f>
        <v>Mocha</v>
      </c>
      <c r="M137" s="1" t="str">
        <f>_xlfn.XLOOKUP($J137, items_clean!$A:$A, items_clean!$D:$D, "")</f>
        <v>Hot Drinks</v>
      </c>
      <c r="N137" s="1" t="str">
        <f>_xlfn.XLOOKUP($J137, items_clean!$A:$A, items_clean!$E:$E, "")</f>
        <v>Medium</v>
      </c>
      <c r="O137" s="3">
        <v>1</v>
      </c>
      <c r="P137" s="2">
        <f>_xlfn.XLOOKUP($J137, items_clean!$A:$A, items_clean!$F:$F, "")</f>
        <v>4</v>
      </c>
      <c r="Q137" s="2">
        <f t="shared" si="17"/>
        <v>4</v>
      </c>
      <c r="R137" s="7">
        <f>_xlfn.XLOOKUP(K137, recipe_cost!$A:$A, recipe_cost!$B:$B, "")</f>
        <v>0.4098</v>
      </c>
      <c r="S137" s="10">
        <f t="shared" si="18"/>
        <v>0.4098</v>
      </c>
      <c r="T137" s="10">
        <f t="shared" si="19"/>
        <v>3.5901999999999998</v>
      </c>
      <c r="U137" s="9">
        <f t="shared" si="20"/>
        <v>0.89754999999999996</v>
      </c>
    </row>
    <row r="138" spans="1:21" x14ac:dyDescent="0.3">
      <c r="A138" s="1">
        <v>137</v>
      </c>
      <c r="B138" s="1" t="s">
        <v>275</v>
      </c>
      <c r="C138" s="4">
        <v>45335.370138888888</v>
      </c>
      <c r="D138" s="5">
        <f t="shared" si="14"/>
        <v>45335</v>
      </c>
      <c r="E138" s="3">
        <f t="shared" si="15"/>
        <v>8</v>
      </c>
      <c r="F138" s="1" t="str" cm="1">
        <f t="array" ref="F138">_xlfn.IFS(
E138&lt;11,"Morning",
E138&lt;15,"Afternoon",
TRUE,"Evening"
)</f>
        <v>Morning</v>
      </c>
      <c r="G138" s="3" t="str">
        <f t="shared" si="16"/>
        <v>Tue</v>
      </c>
      <c r="H138" s="1" t="s">
        <v>151</v>
      </c>
      <c r="I138" s="1" t="s">
        <v>149</v>
      </c>
      <c r="J138" s="1" t="s">
        <v>100</v>
      </c>
      <c r="K138" s="1" t="str">
        <f>_xlfn.XLOOKUP($J138, items_clean!$A:$A, items_clean!$B:$B, "")</f>
        <v>HDR-CAP-LG</v>
      </c>
      <c r="L138" s="1" t="str">
        <f>_xlfn.XLOOKUP($J138, items_clean!$A:$A, items_clean!$C:$C, "")</f>
        <v>Cappuccino</v>
      </c>
      <c r="M138" s="1" t="str">
        <f>_xlfn.XLOOKUP($J138, items_clean!$A:$A, items_clean!$D:$D, "")</f>
        <v>Hot Drinks</v>
      </c>
      <c r="N138" s="1" t="str">
        <f>_xlfn.XLOOKUP($J138, items_clean!$A:$A, items_clean!$E:$E, "")</f>
        <v>Large</v>
      </c>
      <c r="O138" s="3">
        <v>1</v>
      </c>
      <c r="P138" s="2">
        <f>_xlfn.XLOOKUP($J138, items_clean!$A:$A, items_clean!$F:$F, "")</f>
        <v>3.75</v>
      </c>
      <c r="Q138" s="2">
        <f t="shared" si="17"/>
        <v>3.75</v>
      </c>
      <c r="R138" s="7">
        <f>_xlfn.XLOOKUP(K138, recipe_cost!$A:$A, recipe_cost!$B:$B, "")</f>
        <v>0.33599999999999997</v>
      </c>
      <c r="S138" s="10">
        <f t="shared" si="18"/>
        <v>0.33599999999999997</v>
      </c>
      <c r="T138" s="10">
        <f t="shared" si="19"/>
        <v>3.4140000000000001</v>
      </c>
      <c r="U138" s="9">
        <f t="shared" si="20"/>
        <v>0.91039999999999999</v>
      </c>
    </row>
    <row r="139" spans="1:21" x14ac:dyDescent="0.3">
      <c r="A139" s="1">
        <v>138</v>
      </c>
      <c r="B139" s="1" t="s">
        <v>275</v>
      </c>
      <c r="C139" s="4">
        <v>45335.370138888888</v>
      </c>
      <c r="D139" s="5">
        <f t="shared" si="14"/>
        <v>45335</v>
      </c>
      <c r="E139" s="3">
        <f t="shared" si="15"/>
        <v>8</v>
      </c>
      <c r="F139" s="1" t="str" cm="1">
        <f t="array" ref="F139">_xlfn.IFS(
E139&lt;11,"Morning",
E139&lt;15,"Afternoon",
TRUE,"Evening"
)</f>
        <v>Morning</v>
      </c>
      <c r="G139" s="3" t="str">
        <f t="shared" si="16"/>
        <v>Tue</v>
      </c>
      <c r="H139" s="1" t="s">
        <v>151</v>
      </c>
      <c r="I139" s="1" t="s">
        <v>778</v>
      </c>
      <c r="J139" s="1" t="s">
        <v>125</v>
      </c>
      <c r="K139" s="1" t="str">
        <f>_xlfn.XLOOKUP($J139, items_clean!$A:$A, items_clean!$B:$B, "")</f>
        <v>CDR-CCF-LG</v>
      </c>
      <c r="L139" s="1" t="str">
        <f>_xlfn.XLOOKUP($J139, items_clean!$A:$A, items_clean!$C:$C, "")</f>
        <v>Cold Coffee</v>
      </c>
      <c r="M139" s="1" t="str">
        <f>_xlfn.XLOOKUP($J139, items_clean!$A:$A, items_clean!$D:$D, "")</f>
        <v>Cold Drinks</v>
      </c>
      <c r="N139" s="1" t="str">
        <f>_xlfn.XLOOKUP($J139, items_clean!$A:$A, items_clean!$E:$E, "")</f>
        <v>Large</v>
      </c>
      <c r="O139" s="3">
        <v>1</v>
      </c>
      <c r="P139" s="2">
        <f>_xlfn.XLOOKUP($J139, items_clean!$A:$A, items_clean!$F:$F, "")</f>
        <v>3.75</v>
      </c>
      <c r="Q139" s="2">
        <f t="shared" si="17"/>
        <v>3.75</v>
      </c>
      <c r="R139" s="7">
        <f>_xlfn.XLOOKUP(K139, recipe_cost!$A:$A, recipe_cost!$B:$B, "")</f>
        <v>0.33599999999999997</v>
      </c>
      <c r="S139" s="10">
        <f t="shared" si="18"/>
        <v>0.33599999999999997</v>
      </c>
      <c r="T139" s="10">
        <f t="shared" si="19"/>
        <v>3.4140000000000001</v>
      </c>
      <c r="U139" s="9">
        <f t="shared" si="20"/>
        <v>0.91039999999999999</v>
      </c>
    </row>
    <row r="140" spans="1:21" x14ac:dyDescent="0.3">
      <c r="A140" s="1">
        <v>139</v>
      </c>
      <c r="B140" s="1" t="s">
        <v>276</v>
      </c>
      <c r="C140" s="4">
        <v>45335.373611111114</v>
      </c>
      <c r="D140" s="5">
        <f t="shared" si="14"/>
        <v>45335</v>
      </c>
      <c r="E140" s="3">
        <f t="shared" si="15"/>
        <v>8</v>
      </c>
      <c r="F140" s="1" t="str" cm="1">
        <f t="array" ref="F140">_xlfn.IFS(
E140&lt;11,"Morning",
E140&lt;15,"Afternoon",
TRUE,"Evening"
)</f>
        <v>Morning</v>
      </c>
      <c r="G140" s="3" t="str">
        <f t="shared" si="16"/>
        <v>Tue</v>
      </c>
      <c r="H140" s="1" t="s">
        <v>153</v>
      </c>
      <c r="I140" s="1" t="s">
        <v>146</v>
      </c>
      <c r="J140" s="1" t="s">
        <v>119</v>
      </c>
      <c r="K140" s="1" t="str">
        <f>_xlfn.XLOOKUP($J140, items_clean!$A:$A, items_clean!$B:$B, "")</f>
        <v>HDR-HCH-MD</v>
      </c>
      <c r="L140" s="1" t="str">
        <f>_xlfn.XLOOKUP($J140, items_clean!$A:$A, items_clean!$C:$C, "")</f>
        <v>Hot Chocolate</v>
      </c>
      <c r="M140" s="1" t="str">
        <f>_xlfn.XLOOKUP($J140, items_clean!$A:$A, items_clean!$D:$D, "")</f>
        <v>Hot Drinks</v>
      </c>
      <c r="N140" s="1" t="str">
        <f>_xlfn.XLOOKUP($J140, items_clean!$A:$A, items_clean!$E:$E, "")</f>
        <v>Medium</v>
      </c>
      <c r="O140" s="3">
        <v>1</v>
      </c>
      <c r="P140" s="2">
        <f>_xlfn.XLOOKUP($J140, items_clean!$A:$A, items_clean!$F:$F, "")</f>
        <v>4.2</v>
      </c>
      <c r="Q140" s="2">
        <f t="shared" si="17"/>
        <v>4.2</v>
      </c>
      <c r="R140" s="7">
        <f>_xlfn.XLOOKUP(K140, recipe_cost!$A:$A, recipe_cost!$B:$B, "")</f>
        <v>1.0509999999999999</v>
      </c>
      <c r="S140" s="10">
        <f t="shared" si="18"/>
        <v>1.0509999999999999</v>
      </c>
      <c r="T140" s="10">
        <f t="shared" si="19"/>
        <v>3.149</v>
      </c>
      <c r="U140" s="9">
        <f t="shared" si="20"/>
        <v>0.74976190476190474</v>
      </c>
    </row>
    <row r="141" spans="1:21" x14ac:dyDescent="0.3">
      <c r="A141" s="1">
        <v>140</v>
      </c>
      <c r="B141" s="1" t="s">
        <v>279</v>
      </c>
      <c r="C141" s="4">
        <v>45335.381249999999</v>
      </c>
      <c r="D141" s="5">
        <f t="shared" si="14"/>
        <v>45335</v>
      </c>
      <c r="E141" s="3">
        <f t="shared" si="15"/>
        <v>9</v>
      </c>
      <c r="F141" s="1" t="str" cm="1">
        <f t="array" ref="F141">_xlfn.IFS(
E141&lt;11,"Morning",
E141&lt;15,"Afternoon",
TRUE,"Evening"
)</f>
        <v>Morning</v>
      </c>
      <c r="G141" s="3" t="str">
        <f t="shared" si="16"/>
        <v>Tue</v>
      </c>
      <c r="H141" s="1" t="s">
        <v>157</v>
      </c>
      <c r="I141" s="1" t="s">
        <v>146</v>
      </c>
      <c r="J141" s="1" t="s">
        <v>104</v>
      </c>
      <c r="K141" s="1" t="str">
        <f>_xlfn.XLOOKUP($J141, items_clean!$A:$A, items_clean!$B:$B, "")</f>
        <v>HDR-LAT-LG</v>
      </c>
      <c r="L141" s="1" t="str">
        <f>_xlfn.XLOOKUP($J141, items_clean!$A:$A, items_clean!$C:$C, "")</f>
        <v>Latte</v>
      </c>
      <c r="M141" s="1" t="str">
        <f>_xlfn.XLOOKUP($J141, items_clean!$A:$A, items_clean!$D:$D, "")</f>
        <v>Hot Drinks</v>
      </c>
      <c r="N141" s="1" t="str">
        <f>_xlfn.XLOOKUP($J141, items_clean!$A:$A, items_clean!$E:$E, "")</f>
        <v>Large</v>
      </c>
      <c r="O141" s="3">
        <v>1</v>
      </c>
      <c r="P141" s="2">
        <f>_xlfn.XLOOKUP($J141, items_clean!$A:$A, items_clean!$F:$F, "")</f>
        <v>3.75</v>
      </c>
      <c r="Q141" s="2">
        <f t="shared" si="17"/>
        <v>3.75</v>
      </c>
      <c r="R141" s="7">
        <f>_xlfn.XLOOKUP(K141, recipe_cost!$A:$A, recipe_cost!$B:$B, "")</f>
        <v>0.33599999999999997</v>
      </c>
      <c r="S141" s="10">
        <f t="shared" si="18"/>
        <v>0.33599999999999997</v>
      </c>
      <c r="T141" s="10">
        <f t="shared" si="19"/>
        <v>3.4140000000000001</v>
      </c>
      <c r="U141" s="9">
        <f t="shared" si="20"/>
        <v>0.91039999999999999</v>
      </c>
    </row>
    <row r="142" spans="1:21" x14ac:dyDescent="0.3">
      <c r="A142" s="1">
        <v>141</v>
      </c>
      <c r="B142" s="1" t="s">
        <v>280</v>
      </c>
      <c r="C142" s="4">
        <v>45335.384722222225</v>
      </c>
      <c r="D142" s="5">
        <f t="shared" si="14"/>
        <v>45335</v>
      </c>
      <c r="E142" s="3">
        <f t="shared" si="15"/>
        <v>9</v>
      </c>
      <c r="F142" s="1" t="str" cm="1">
        <f t="array" ref="F142">_xlfn.IFS(
E142&lt;11,"Morning",
E142&lt;15,"Afternoon",
TRUE,"Evening"
)</f>
        <v>Morning</v>
      </c>
      <c r="G142" s="3" t="str">
        <f t="shared" si="16"/>
        <v>Tue</v>
      </c>
      <c r="H142" s="1" t="s">
        <v>159</v>
      </c>
      <c r="I142" s="1" t="s">
        <v>149</v>
      </c>
      <c r="J142" s="1" t="s">
        <v>132</v>
      </c>
      <c r="K142" s="1" t="str">
        <f>_xlfn.XLOOKUP($J142, items_clean!$A:$A, items_clean!$B:$B, "")</f>
        <v>CDR-LMN-MD</v>
      </c>
      <c r="L142" s="1" t="str">
        <f>_xlfn.XLOOKUP($J142, items_clean!$A:$A, items_clean!$C:$C, "")</f>
        <v>Lemonade</v>
      </c>
      <c r="M142" s="1" t="str">
        <f>_xlfn.XLOOKUP($J142, items_clean!$A:$A, items_clean!$D:$D, "")</f>
        <v>Cold Drinks</v>
      </c>
      <c r="N142" s="1" t="str">
        <f>_xlfn.XLOOKUP($J142, items_clean!$A:$A, items_clean!$E:$E, "")</f>
        <v>Medium</v>
      </c>
      <c r="O142" s="3">
        <v>1</v>
      </c>
      <c r="P142" s="2">
        <f>_xlfn.XLOOKUP($J142, items_clean!$A:$A, items_clean!$F:$F, "")</f>
        <v>3.35</v>
      </c>
      <c r="Q142" s="2">
        <f t="shared" si="17"/>
        <v>3.35</v>
      </c>
      <c r="R142" s="7">
        <f>_xlfn.XLOOKUP(K142, recipe_cost!$A:$A, recipe_cost!$B:$B, "")</f>
        <v>0.34499999999999997</v>
      </c>
      <c r="S142" s="10">
        <f t="shared" si="18"/>
        <v>0.34499999999999997</v>
      </c>
      <c r="T142" s="10">
        <f t="shared" si="19"/>
        <v>3.0049999999999999</v>
      </c>
      <c r="U142" s="9">
        <f t="shared" si="20"/>
        <v>0.89701492537313432</v>
      </c>
    </row>
    <row r="143" spans="1:21" x14ac:dyDescent="0.3">
      <c r="A143" s="1">
        <v>142</v>
      </c>
      <c r="B143" s="1" t="s">
        <v>281</v>
      </c>
      <c r="C143" s="4">
        <v>45335.388194444444</v>
      </c>
      <c r="D143" s="5">
        <f t="shared" si="14"/>
        <v>45335</v>
      </c>
      <c r="E143" s="3">
        <f t="shared" si="15"/>
        <v>9</v>
      </c>
      <c r="F143" s="1" t="str" cm="1">
        <f t="array" ref="F143">_xlfn.IFS(
E143&lt;11,"Morning",
E143&lt;15,"Afternoon",
TRUE,"Evening"
)</f>
        <v>Morning</v>
      </c>
      <c r="G143" s="3" t="str">
        <f t="shared" si="16"/>
        <v>Tue</v>
      </c>
      <c r="H143" s="1" t="s">
        <v>161</v>
      </c>
      <c r="I143" s="1" t="s">
        <v>146</v>
      </c>
      <c r="J143" s="1" t="s">
        <v>108</v>
      </c>
      <c r="K143" s="1" t="str">
        <f>_xlfn.XLOOKUP($J143, items_clean!$A:$A, items_clean!$B:$B, "")</f>
        <v>HDR-CRM-MD</v>
      </c>
      <c r="L143" s="1" t="str">
        <f>_xlfn.XLOOKUP($J143, items_clean!$A:$A, items_clean!$C:$C, "")</f>
        <v>Caramel Macchiato</v>
      </c>
      <c r="M143" s="1" t="str">
        <f>_xlfn.XLOOKUP($J143, items_clean!$A:$A, items_clean!$D:$D, "")</f>
        <v>Hot Drinks</v>
      </c>
      <c r="N143" s="1" t="str">
        <f>_xlfn.XLOOKUP($J143, items_clean!$A:$A, items_clean!$E:$E, "")</f>
        <v>Medium</v>
      </c>
      <c r="O143" s="3">
        <v>1</v>
      </c>
      <c r="P143" s="2">
        <f>_xlfn.XLOOKUP($J143, items_clean!$A:$A, items_clean!$F:$F, "")</f>
        <v>4.2</v>
      </c>
      <c r="Q143" s="2">
        <f t="shared" si="17"/>
        <v>4.2</v>
      </c>
      <c r="R143" s="7">
        <f>_xlfn.XLOOKUP(K143, recipe_cost!$A:$A, recipe_cost!$B:$B, "")</f>
        <v>0.4098</v>
      </c>
      <c r="S143" s="10">
        <f t="shared" si="18"/>
        <v>0.4098</v>
      </c>
      <c r="T143" s="10">
        <f t="shared" si="19"/>
        <v>3.7902</v>
      </c>
      <c r="U143" s="9">
        <f t="shared" si="20"/>
        <v>0.90242857142857136</v>
      </c>
    </row>
    <row r="144" spans="1:21" x14ac:dyDescent="0.3">
      <c r="A144" s="1">
        <v>143</v>
      </c>
      <c r="B144" s="1" t="s">
        <v>282</v>
      </c>
      <c r="C144" s="4">
        <v>45335.392361111109</v>
      </c>
      <c r="D144" s="5">
        <f t="shared" si="14"/>
        <v>45335</v>
      </c>
      <c r="E144" s="3">
        <f t="shared" si="15"/>
        <v>9</v>
      </c>
      <c r="F144" s="1" t="str" cm="1">
        <f t="array" ref="F144">_xlfn.IFS(
E144&lt;11,"Morning",
E144&lt;15,"Afternoon",
TRUE,"Evening"
)</f>
        <v>Morning</v>
      </c>
      <c r="G144" s="3" t="str">
        <f t="shared" si="16"/>
        <v>Tue</v>
      </c>
      <c r="H144" s="1" t="s">
        <v>163</v>
      </c>
      <c r="I144" s="1" t="s">
        <v>149</v>
      </c>
      <c r="J144" s="1" t="s">
        <v>129</v>
      </c>
      <c r="K144" s="1" t="str">
        <f>_xlfn.XLOOKUP($J144, items_clean!$A:$A, items_clean!$B:$B, "")</f>
        <v>CDR-ICT-MD</v>
      </c>
      <c r="L144" s="1" t="str">
        <f>_xlfn.XLOOKUP($J144, items_clean!$A:$A, items_clean!$C:$C, "")</f>
        <v>Iced Tea</v>
      </c>
      <c r="M144" s="1" t="str">
        <f>_xlfn.XLOOKUP($J144, items_clean!$A:$A, items_clean!$D:$D, "")</f>
        <v>Cold Drinks</v>
      </c>
      <c r="N144" s="1" t="str">
        <f>_xlfn.XLOOKUP($J144, items_clean!$A:$A, items_clean!$E:$E, "")</f>
        <v>Medium</v>
      </c>
      <c r="O144" s="3">
        <v>1</v>
      </c>
      <c r="P144" s="2">
        <f>_xlfn.XLOOKUP($J144, items_clean!$A:$A, items_clean!$F:$F, "")</f>
        <v>3.25</v>
      </c>
      <c r="Q144" s="2">
        <f t="shared" si="17"/>
        <v>3.25</v>
      </c>
      <c r="R144" s="7">
        <f>_xlfn.XLOOKUP(K144, recipe_cost!$A:$A, recipe_cost!$B:$B, "")</f>
        <v>0.19</v>
      </c>
      <c r="S144" s="10">
        <f t="shared" si="18"/>
        <v>0.19</v>
      </c>
      <c r="T144" s="10">
        <f t="shared" si="19"/>
        <v>3.06</v>
      </c>
      <c r="U144" s="9">
        <f t="shared" si="20"/>
        <v>0.94153846153846155</v>
      </c>
    </row>
    <row r="145" spans="1:21" x14ac:dyDescent="0.3">
      <c r="A145" s="1">
        <v>144</v>
      </c>
      <c r="B145" s="1" t="s">
        <v>283</v>
      </c>
      <c r="C145" s="4">
        <v>45335.395833333336</v>
      </c>
      <c r="D145" s="5">
        <f t="shared" si="14"/>
        <v>45335</v>
      </c>
      <c r="E145" s="3">
        <f t="shared" si="15"/>
        <v>9</v>
      </c>
      <c r="F145" s="1" t="str" cm="1">
        <f t="array" ref="F145">_xlfn.IFS(
E145&lt;11,"Morning",
E145&lt;15,"Afternoon",
TRUE,"Evening"
)</f>
        <v>Morning</v>
      </c>
      <c r="G145" s="3" t="str">
        <f t="shared" si="16"/>
        <v>Tue</v>
      </c>
      <c r="H145" s="1" t="s">
        <v>165</v>
      </c>
      <c r="I145" s="1" t="s">
        <v>146</v>
      </c>
      <c r="J145" s="1" t="s">
        <v>102</v>
      </c>
      <c r="K145" s="1" t="str">
        <f>_xlfn.XLOOKUP($J145, items_clean!$A:$A, items_clean!$B:$B, "")</f>
        <v>HDR-LAT-MD</v>
      </c>
      <c r="L145" s="1" t="str">
        <f>_xlfn.XLOOKUP($J145, items_clean!$A:$A, items_clean!$C:$C, "")</f>
        <v>Latte</v>
      </c>
      <c r="M145" s="1" t="str">
        <f>_xlfn.XLOOKUP($J145, items_clean!$A:$A, items_clean!$D:$D, "")</f>
        <v>Hot Drinks</v>
      </c>
      <c r="N145" s="1" t="str">
        <f>_xlfn.XLOOKUP($J145, items_clean!$A:$A, items_clean!$E:$E, "")</f>
        <v>Medium</v>
      </c>
      <c r="O145" s="3">
        <v>1</v>
      </c>
      <c r="P145" s="2">
        <f>_xlfn.XLOOKUP($J145, items_clean!$A:$A, items_clean!$F:$F, "")</f>
        <v>3.45</v>
      </c>
      <c r="Q145" s="2">
        <f t="shared" si="17"/>
        <v>3.45</v>
      </c>
      <c r="R145" s="7">
        <f>_xlfn.XLOOKUP(K145, recipe_cost!$A:$A, recipe_cost!$B:$B, "")</f>
        <v>0.252</v>
      </c>
      <c r="S145" s="10">
        <f t="shared" si="18"/>
        <v>0.252</v>
      </c>
      <c r="T145" s="10">
        <f t="shared" si="19"/>
        <v>3.1980000000000004</v>
      </c>
      <c r="U145" s="9">
        <f t="shared" si="20"/>
        <v>0.92695652173913046</v>
      </c>
    </row>
    <row r="146" spans="1:21" x14ac:dyDescent="0.3">
      <c r="A146" s="1">
        <v>145</v>
      </c>
      <c r="B146" s="1" t="s">
        <v>284</v>
      </c>
      <c r="C146" s="4">
        <v>45335.399305555555</v>
      </c>
      <c r="D146" s="5">
        <f t="shared" si="14"/>
        <v>45335</v>
      </c>
      <c r="E146" s="3">
        <f t="shared" si="15"/>
        <v>9</v>
      </c>
      <c r="F146" s="1" t="str" cm="1">
        <f t="array" ref="F146">_xlfn.IFS(
E146&lt;11,"Morning",
E146&lt;15,"Afternoon",
TRUE,"Evening"
)</f>
        <v>Morning</v>
      </c>
      <c r="G146" s="3" t="str">
        <f t="shared" si="16"/>
        <v>Tue</v>
      </c>
      <c r="H146" s="1" t="s">
        <v>167</v>
      </c>
      <c r="I146" s="1" t="s">
        <v>149</v>
      </c>
      <c r="J146" s="1" t="s">
        <v>134</v>
      </c>
      <c r="K146" s="1" t="str">
        <f>_xlfn.XLOOKUP($J146, items_clean!$A:$A, items_clean!$B:$B, "")</f>
        <v>CDR-LMN-LG</v>
      </c>
      <c r="L146" s="1" t="str">
        <f>_xlfn.XLOOKUP($J146, items_clean!$A:$A, items_clean!$C:$C, "")</f>
        <v>Lemonade</v>
      </c>
      <c r="M146" s="1" t="str">
        <f>_xlfn.XLOOKUP($J146, items_clean!$A:$A, items_clean!$D:$D, "")</f>
        <v>Cold Drinks</v>
      </c>
      <c r="N146" s="1" t="str">
        <f>_xlfn.XLOOKUP($J146, items_clean!$A:$A, items_clean!$E:$E, "")</f>
        <v>Large</v>
      </c>
      <c r="O146" s="3">
        <v>1</v>
      </c>
      <c r="P146" s="2">
        <f>_xlfn.XLOOKUP($J146, items_clean!$A:$A, items_clean!$F:$F, "")</f>
        <v>3.75</v>
      </c>
      <c r="Q146" s="2">
        <f t="shared" si="17"/>
        <v>3.75</v>
      </c>
      <c r="R146" s="7">
        <f>_xlfn.XLOOKUP(K146, recipe_cost!$A:$A, recipe_cost!$B:$B, "")</f>
        <v>0.36</v>
      </c>
      <c r="S146" s="10">
        <f t="shared" si="18"/>
        <v>0.36</v>
      </c>
      <c r="T146" s="10">
        <f t="shared" si="19"/>
        <v>3.39</v>
      </c>
      <c r="U146" s="9">
        <f t="shared" si="20"/>
        <v>0.90400000000000003</v>
      </c>
    </row>
    <row r="147" spans="1:21" x14ac:dyDescent="0.3">
      <c r="A147" s="1">
        <v>146</v>
      </c>
      <c r="B147" s="1" t="s">
        <v>284</v>
      </c>
      <c r="C147" s="4">
        <v>45335.399305555555</v>
      </c>
      <c r="D147" s="5">
        <f t="shared" si="14"/>
        <v>45335</v>
      </c>
      <c r="E147" s="3">
        <f t="shared" si="15"/>
        <v>9</v>
      </c>
      <c r="F147" s="1" t="str" cm="1">
        <f t="array" ref="F147">_xlfn.IFS(
E147&lt;11,"Morning",
E147&lt;15,"Afternoon",
TRUE,"Evening"
)</f>
        <v>Morning</v>
      </c>
      <c r="G147" s="3" t="str">
        <f t="shared" si="16"/>
        <v>Tue</v>
      </c>
      <c r="H147" s="1" t="s">
        <v>167</v>
      </c>
      <c r="I147" s="1" t="s">
        <v>778</v>
      </c>
      <c r="J147" s="1" t="s">
        <v>118</v>
      </c>
      <c r="K147" s="1" t="str">
        <f>_xlfn.XLOOKUP($J147, items_clean!$A:$A, items_clean!$B:$B, "")</f>
        <v>HDR-WMO-LG</v>
      </c>
      <c r="L147" s="1" t="str">
        <f>_xlfn.XLOOKUP($J147, items_clean!$A:$A, items_clean!$C:$C, "")</f>
        <v>White Mocha</v>
      </c>
      <c r="M147" s="1" t="str">
        <f>_xlfn.XLOOKUP($J147, items_clean!$A:$A, items_clean!$D:$D, "")</f>
        <v>Hot Drinks</v>
      </c>
      <c r="N147" s="1" t="str">
        <f>_xlfn.XLOOKUP($J147, items_clean!$A:$A, items_clean!$E:$E, "")</f>
        <v>Large</v>
      </c>
      <c r="O147" s="3">
        <v>1</v>
      </c>
      <c r="P147" s="2">
        <f>_xlfn.XLOOKUP($J147, items_clean!$A:$A, items_clean!$F:$F, "")</f>
        <v>4.7</v>
      </c>
      <c r="Q147" s="2">
        <f t="shared" si="17"/>
        <v>4.7</v>
      </c>
      <c r="R147" s="7">
        <f>_xlfn.XLOOKUP(K147, recipe_cost!$A:$A, recipe_cost!$B:$B, "")</f>
        <v>0.56669999999999998</v>
      </c>
      <c r="S147" s="10">
        <f t="shared" si="18"/>
        <v>0.56669999999999998</v>
      </c>
      <c r="T147" s="10">
        <f t="shared" si="19"/>
        <v>4.1333000000000002</v>
      </c>
      <c r="U147" s="9">
        <f t="shared" si="20"/>
        <v>0.87942553191489359</v>
      </c>
    </row>
    <row r="148" spans="1:21" x14ac:dyDescent="0.3">
      <c r="A148" s="1">
        <v>147</v>
      </c>
      <c r="B148" s="1" t="s">
        <v>285</v>
      </c>
      <c r="C148" s="4">
        <v>45335.402777777781</v>
      </c>
      <c r="D148" s="5">
        <f t="shared" si="14"/>
        <v>45335</v>
      </c>
      <c r="E148" s="3">
        <f t="shared" si="15"/>
        <v>9</v>
      </c>
      <c r="F148" s="1" t="str" cm="1">
        <f t="array" ref="F148">_xlfn.IFS(
E148&lt;11,"Morning",
E148&lt;15,"Afternoon",
TRUE,"Evening"
)</f>
        <v>Morning</v>
      </c>
      <c r="G148" s="3" t="str">
        <f t="shared" si="16"/>
        <v>Tue</v>
      </c>
      <c r="H148" s="1" t="s">
        <v>249</v>
      </c>
      <c r="I148" s="1" t="s">
        <v>146</v>
      </c>
      <c r="J148" s="1" t="s">
        <v>128</v>
      </c>
      <c r="K148" s="1" t="str">
        <f>_xlfn.XLOOKUP($J148, items_clean!$A:$A, items_clean!$B:$B, "")</f>
        <v>CDR-CMO-LG</v>
      </c>
      <c r="L148" s="1" t="str">
        <f>_xlfn.XLOOKUP($J148, items_clean!$A:$A, items_clean!$C:$C, "")</f>
        <v>Cold Mocha</v>
      </c>
      <c r="M148" s="1" t="str">
        <f>_xlfn.XLOOKUP($J148, items_clean!$A:$A, items_clean!$D:$D, "")</f>
        <v>Cold Drinks</v>
      </c>
      <c r="N148" s="1" t="str">
        <f>_xlfn.XLOOKUP($J148, items_clean!$A:$A, items_clean!$E:$E, "")</f>
        <v>Large</v>
      </c>
      <c r="O148" s="3">
        <v>1</v>
      </c>
      <c r="P148" s="2">
        <f>_xlfn.XLOOKUP($J148, items_clean!$A:$A, items_clean!$F:$F, "")</f>
        <v>4.5999999999999996</v>
      </c>
      <c r="Q148" s="2">
        <f t="shared" si="17"/>
        <v>4.5999999999999996</v>
      </c>
      <c r="R148" s="7">
        <f>_xlfn.XLOOKUP(K148, recipe_cost!$A:$A, recipe_cost!$B:$B, "")</f>
        <v>0.56669999999999998</v>
      </c>
      <c r="S148" s="10">
        <f t="shared" si="18"/>
        <v>0.56669999999999998</v>
      </c>
      <c r="T148" s="10">
        <f t="shared" si="19"/>
        <v>4.0332999999999997</v>
      </c>
      <c r="U148" s="9">
        <f t="shared" si="20"/>
        <v>0.87680434782608696</v>
      </c>
    </row>
    <row r="149" spans="1:21" x14ac:dyDescent="0.3">
      <c r="A149" s="1">
        <v>148</v>
      </c>
      <c r="B149" s="1" t="s">
        <v>286</v>
      </c>
      <c r="C149" s="4">
        <v>45335.406944444447</v>
      </c>
      <c r="D149" s="5">
        <f t="shared" si="14"/>
        <v>45335</v>
      </c>
      <c r="E149" s="3">
        <f t="shared" si="15"/>
        <v>9</v>
      </c>
      <c r="F149" s="1" t="str" cm="1">
        <f t="array" ref="F149">_xlfn.IFS(
E149&lt;11,"Morning",
E149&lt;15,"Afternoon",
TRUE,"Evening"
)</f>
        <v>Morning</v>
      </c>
      <c r="G149" s="3" t="str">
        <f t="shared" si="16"/>
        <v>Tue</v>
      </c>
      <c r="H149" s="1" t="s">
        <v>145</v>
      </c>
      <c r="I149" s="1" t="s">
        <v>149</v>
      </c>
      <c r="J149" s="1" t="s">
        <v>105</v>
      </c>
      <c r="K149" s="1" t="str">
        <f>_xlfn.XLOOKUP($J149, items_clean!$A:$A, items_clean!$B:$B, "")</f>
        <v>HDR-FLT</v>
      </c>
      <c r="L149" s="1" t="str">
        <f>_xlfn.XLOOKUP($J149, items_clean!$A:$A, items_clean!$C:$C, "")</f>
        <v>Flat White</v>
      </c>
      <c r="M149" s="1" t="str">
        <f>_xlfn.XLOOKUP($J149, items_clean!$A:$A, items_clean!$D:$D, "")</f>
        <v>Hot Drinks</v>
      </c>
      <c r="N149" s="1" t="str">
        <f>_xlfn.XLOOKUP($J149, items_clean!$A:$A, items_clean!$E:$E, "")</f>
        <v>N/A</v>
      </c>
      <c r="O149" s="3">
        <v>1</v>
      </c>
      <c r="P149" s="2">
        <f>_xlfn.XLOOKUP($J149, items_clean!$A:$A, items_clean!$F:$F, "")</f>
        <v>3.15</v>
      </c>
      <c r="Q149" s="2">
        <f t="shared" si="17"/>
        <v>3.15</v>
      </c>
      <c r="R149" s="7">
        <f>_xlfn.XLOOKUP(K149, recipe_cost!$A:$A, recipe_cost!$B:$B, "")</f>
        <v>0.28799999999999998</v>
      </c>
      <c r="S149" s="10">
        <f t="shared" si="18"/>
        <v>0.28799999999999998</v>
      </c>
      <c r="T149" s="10">
        <f t="shared" si="19"/>
        <v>2.8620000000000001</v>
      </c>
      <c r="U149" s="9">
        <f t="shared" si="20"/>
        <v>0.90857142857142859</v>
      </c>
    </row>
    <row r="150" spans="1:21" x14ac:dyDescent="0.3">
      <c r="A150" s="1">
        <v>149</v>
      </c>
      <c r="B150" s="1" t="s">
        <v>288</v>
      </c>
      <c r="C150" s="4">
        <v>45335.413888888892</v>
      </c>
      <c r="D150" s="5">
        <f t="shared" si="14"/>
        <v>45335</v>
      </c>
      <c r="E150" s="3">
        <f t="shared" si="15"/>
        <v>9</v>
      </c>
      <c r="F150" s="1" t="str" cm="1">
        <f t="array" ref="F150">_xlfn.IFS(
E150&lt;11,"Morning",
E150&lt;15,"Afternoon",
TRUE,"Evening"
)</f>
        <v>Morning</v>
      </c>
      <c r="G150" s="3" t="str">
        <f t="shared" si="16"/>
        <v>Tue</v>
      </c>
      <c r="H150" s="1" t="s">
        <v>253</v>
      </c>
      <c r="I150" s="1" t="s">
        <v>149</v>
      </c>
      <c r="J150" s="1" t="s">
        <v>121</v>
      </c>
      <c r="K150" s="1" t="str">
        <f>_xlfn.XLOOKUP($J150, items_clean!$A:$A, items_clean!$B:$B, "")</f>
        <v>HDR-HCH-LG</v>
      </c>
      <c r="L150" s="1" t="str">
        <f>_xlfn.XLOOKUP($J150, items_clean!$A:$A, items_clean!$C:$C, "")</f>
        <v>Hot Chocolate</v>
      </c>
      <c r="M150" s="1" t="str">
        <f>_xlfn.XLOOKUP($J150, items_clean!$A:$A, items_clean!$D:$D, "")</f>
        <v>Hot Drinks</v>
      </c>
      <c r="N150" s="1" t="str">
        <f>_xlfn.XLOOKUP($J150, items_clean!$A:$A, items_clean!$E:$E, "")</f>
        <v>Large</v>
      </c>
      <c r="O150" s="3">
        <v>1</v>
      </c>
      <c r="P150" s="2">
        <f>_xlfn.XLOOKUP($J150, items_clean!$A:$A, items_clean!$F:$F, "")</f>
        <v>4.5999999999999996</v>
      </c>
      <c r="Q150" s="2">
        <f t="shared" si="17"/>
        <v>4.5999999999999996</v>
      </c>
      <c r="R150" s="7">
        <f>_xlfn.XLOOKUP(K150, recipe_cost!$A:$A, recipe_cost!$B:$B, "")</f>
        <v>1.4809999999999999</v>
      </c>
      <c r="S150" s="10">
        <f t="shared" si="18"/>
        <v>1.4809999999999999</v>
      </c>
      <c r="T150" s="10">
        <f t="shared" si="19"/>
        <v>3.1189999999999998</v>
      </c>
      <c r="U150" s="9">
        <f t="shared" si="20"/>
        <v>0.67804347826086953</v>
      </c>
    </row>
    <row r="151" spans="1:21" x14ac:dyDescent="0.3">
      <c r="A151" s="1">
        <v>150</v>
      </c>
      <c r="B151" s="1" t="s">
        <v>289</v>
      </c>
      <c r="C151" s="4">
        <v>45335.417361111111</v>
      </c>
      <c r="D151" s="5">
        <f t="shared" si="14"/>
        <v>45335</v>
      </c>
      <c r="E151" s="3">
        <f t="shared" si="15"/>
        <v>10</v>
      </c>
      <c r="F151" s="1" t="str" cm="1">
        <f t="array" ref="F151">_xlfn.IFS(
E151&lt;11,"Morning",
E151&lt;15,"Afternoon",
TRUE,"Evening"
)</f>
        <v>Morning</v>
      </c>
      <c r="G151" s="3" t="str">
        <f t="shared" si="16"/>
        <v>Tue</v>
      </c>
      <c r="H151" s="1" t="s">
        <v>148</v>
      </c>
      <c r="I151" s="1" t="s">
        <v>146</v>
      </c>
      <c r="J151" s="1" t="s">
        <v>113</v>
      </c>
      <c r="K151" s="1" t="str">
        <f>_xlfn.XLOOKUP($J151, items_clean!$A:$A, items_clean!$B:$B, "")</f>
        <v>HDR-MOC-MD</v>
      </c>
      <c r="L151" s="1" t="str">
        <f>_xlfn.XLOOKUP($J151, items_clean!$A:$A, items_clean!$C:$C, "")</f>
        <v>Mocha</v>
      </c>
      <c r="M151" s="1" t="str">
        <f>_xlfn.XLOOKUP($J151, items_clean!$A:$A, items_clean!$D:$D, "")</f>
        <v>Hot Drinks</v>
      </c>
      <c r="N151" s="1" t="str">
        <f>_xlfn.XLOOKUP($J151, items_clean!$A:$A, items_clean!$E:$E, "")</f>
        <v>Medium</v>
      </c>
      <c r="O151" s="3">
        <v>1</v>
      </c>
      <c r="P151" s="2">
        <f>_xlfn.XLOOKUP($J151, items_clean!$A:$A, items_clean!$F:$F, "")</f>
        <v>4</v>
      </c>
      <c r="Q151" s="2">
        <f t="shared" si="17"/>
        <v>4</v>
      </c>
      <c r="R151" s="7">
        <f>_xlfn.XLOOKUP(K151, recipe_cost!$A:$A, recipe_cost!$B:$B, "")</f>
        <v>0.4098</v>
      </c>
      <c r="S151" s="10">
        <f t="shared" si="18"/>
        <v>0.4098</v>
      </c>
      <c r="T151" s="10">
        <f t="shared" si="19"/>
        <v>3.5901999999999998</v>
      </c>
      <c r="U151" s="9">
        <f t="shared" si="20"/>
        <v>0.89754999999999996</v>
      </c>
    </row>
    <row r="152" spans="1:21" x14ac:dyDescent="0.3">
      <c r="A152" s="1">
        <v>151</v>
      </c>
      <c r="B152" s="1" t="s">
        <v>291</v>
      </c>
      <c r="C152" s="4">
        <v>45335.438194444447</v>
      </c>
      <c r="D152" s="5">
        <f t="shared" si="14"/>
        <v>45335</v>
      </c>
      <c r="E152" s="3">
        <f t="shared" si="15"/>
        <v>10</v>
      </c>
      <c r="F152" s="1" t="str" cm="1">
        <f t="array" ref="F152">_xlfn.IFS(
E152&lt;11,"Morning",
E152&lt;15,"Afternoon",
TRUE,"Evening"
)</f>
        <v>Morning</v>
      </c>
      <c r="G152" s="3" t="str">
        <f t="shared" si="16"/>
        <v>Tue</v>
      </c>
      <c r="H152" s="1" t="s">
        <v>153</v>
      </c>
      <c r="I152" s="1" t="s">
        <v>146</v>
      </c>
      <c r="J152" s="1" t="s">
        <v>105</v>
      </c>
      <c r="K152" s="1" t="str">
        <f>_xlfn.XLOOKUP($J152, items_clean!$A:$A, items_clean!$B:$B, "")</f>
        <v>HDR-FLT</v>
      </c>
      <c r="L152" s="1" t="str">
        <f>_xlfn.XLOOKUP($J152, items_clean!$A:$A, items_clean!$C:$C, "")</f>
        <v>Flat White</v>
      </c>
      <c r="M152" s="1" t="str">
        <f>_xlfn.XLOOKUP($J152, items_clean!$A:$A, items_clean!$D:$D, "")</f>
        <v>Hot Drinks</v>
      </c>
      <c r="N152" s="1" t="str">
        <f>_xlfn.XLOOKUP($J152, items_clean!$A:$A, items_clean!$E:$E, "")</f>
        <v>N/A</v>
      </c>
      <c r="O152" s="3">
        <v>1</v>
      </c>
      <c r="P152" s="2">
        <f>_xlfn.XLOOKUP($J152, items_clean!$A:$A, items_clean!$F:$F, "")</f>
        <v>3.15</v>
      </c>
      <c r="Q152" s="2">
        <f t="shared" si="17"/>
        <v>3.15</v>
      </c>
      <c r="R152" s="7">
        <f>_xlfn.XLOOKUP(K152, recipe_cost!$A:$A, recipe_cost!$B:$B, "")</f>
        <v>0.28799999999999998</v>
      </c>
      <c r="S152" s="10">
        <f t="shared" si="18"/>
        <v>0.28799999999999998</v>
      </c>
      <c r="T152" s="10">
        <f t="shared" si="19"/>
        <v>2.8620000000000001</v>
      </c>
      <c r="U152" s="9">
        <f t="shared" si="20"/>
        <v>0.90857142857142859</v>
      </c>
    </row>
    <row r="153" spans="1:21" x14ac:dyDescent="0.3">
      <c r="A153" s="1">
        <v>152</v>
      </c>
      <c r="B153" s="1" t="s">
        <v>292</v>
      </c>
      <c r="C153" s="4">
        <v>45335.447916666664</v>
      </c>
      <c r="D153" s="5">
        <f t="shared" si="14"/>
        <v>45335</v>
      </c>
      <c r="E153" s="3">
        <f t="shared" si="15"/>
        <v>10</v>
      </c>
      <c r="F153" s="1" t="str" cm="1">
        <f t="array" ref="F153">_xlfn.IFS(
E153&lt;11,"Morning",
E153&lt;15,"Afternoon",
TRUE,"Evening"
)</f>
        <v>Morning</v>
      </c>
      <c r="G153" s="3" t="str">
        <f t="shared" si="16"/>
        <v>Tue</v>
      </c>
      <c r="H153" s="1" t="s">
        <v>159</v>
      </c>
      <c r="I153" s="1" t="s">
        <v>149</v>
      </c>
      <c r="J153" s="1" t="s">
        <v>121</v>
      </c>
      <c r="K153" s="1" t="str">
        <f>_xlfn.XLOOKUP($J153, items_clean!$A:$A, items_clean!$B:$B, "")</f>
        <v>HDR-HCH-LG</v>
      </c>
      <c r="L153" s="1" t="str">
        <f>_xlfn.XLOOKUP($J153, items_clean!$A:$A, items_clean!$C:$C, "")</f>
        <v>Hot Chocolate</v>
      </c>
      <c r="M153" s="1" t="str">
        <f>_xlfn.XLOOKUP($J153, items_clean!$A:$A, items_clean!$D:$D, "")</f>
        <v>Hot Drinks</v>
      </c>
      <c r="N153" s="1" t="str">
        <f>_xlfn.XLOOKUP($J153, items_clean!$A:$A, items_clean!$E:$E, "")</f>
        <v>Large</v>
      </c>
      <c r="O153" s="3">
        <v>1</v>
      </c>
      <c r="P153" s="2">
        <f>_xlfn.XLOOKUP($J153, items_clean!$A:$A, items_clean!$F:$F, "")</f>
        <v>4.5999999999999996</v>
      </c>
      <c r="Q153" s="2">
        <f t="shared" si="17"/>
        <v>4.5999999999999996</v>
      </c>
      <c r="R153" s="7">
        <f>_xlfn.XLOOKUP(K153, recipe_cost!$A:$A, recipe_cost!$B:$B, "")</f>
        <v>1.4809999999999999</v>
      </c>
      <c r="S153" s="10">
        <f t="shared" si="18"/>
        <v>1.4809999999999999</v>
      </c>
      <c r="T153" s="10">
        <f t="shared" si="19"/>
        <v>3.1189999999999998</v>
      </c>
      <c r="U153" s="9">
        <f t="shared" si="20"/>
        <v>0.67804347826086953</v>
      </c>
    </row>
    <row r="154" spans="1:21" x14ac:dyDescent="0.3">
      <c r="A154" s="1">
        <v>153</v>
      </c>
      <c r="B154" s="1" t="s">
        <v>292</v>
      </c>
      <c r="C154" s="4">
        <v>45335.447916666664</v>
      </c>
      <c r="D154" s="5">
        <f t="shared" si="14"/>
        <v>45335</v>
      </c>
      <c r="E154" s="3">
        <f t="shared" si="15"/>
        <v>10</v>
      </c>
      <c r="F154" s="1" t="str" cm="1">
        <f t="array" ref="F154">_xlfn.IFS(
E154&lt;11,"Morning",
E154&lt;15,"Afternoon",
TRUE,"Evening"
)</f>
        <v>Morning</v>
      </c>
      <c r="G154" s="3" t="str">
        <f t="shared" si="16"/>
        <v>Tue</v>
      </c>
      <c r="H154" s="1" t="s">
        <v>159</v>
      </c>
      <c r="I154" s="1" t="s">
        <v>778</v>
      </c>
      <c r="J154" s="1" t="s">
        <v>135</v>
      </c>
      <c r="K154" s="1" t="str">
        <f>_xlfn.XLOOKUP($J154, items_clean!$A:$A, items_clean!$B:$B, "")</f>
        <v>SNK-SHC</v>
      </c>
      <c r="L154" s="1" t="str">
        <f>_xlfn.XLOOKUP($J154, items_clean!$A:$A, items_clean!$C:$C, "")</f>
        <v>Sandwich Ham&amp;Cheese</v>
      </c>
      <c r="M154" s="1" t="str">
        <f>_xlfn.XLOOKUP($J154, items_clean!$A:$A, items_clean!$D:$D, "")</f>
        <v>Snacks</v>
      </c>
      <c r="N154" s="1" t="str">
        <f>_xlfn.XLOOKUP($J154, items_clean!$A:$A, items_clean!$E:$E, "")</f>
        <v>N/A</v>
      </c>
      <c r="O154" s="3">
        <v>1</v>
      </c>
      <c r="P154" s="2">
        <f>_xlfn.XLOOKUP($J154, items_clean!$A:$A, items_clean!$F:$F, "")</f>
        <v>5.6</v>
      </c>
      <c r="Q154" s="2">
        <f t="shared" si="17"/>
        <v>5.6</v>
      </c>
      <c r="R154" s="7">
        <f>_xlfn.XLOOKUP(K154, recipe_cost!$A:$A, recipe_cost!$B:$B, "")</f>
        <v>2.0105</v>
      </c>
      <c r="S154" s="10">
        <f t="shared" si="18"/>
        <v>2.0105</v>
      </c>
      <c r="T154" s="10">
        <f t="shared" si="19"/>
        <v>3.5894999999999997</v>
      </c>
      <c r="U154" s="9">
        <f t="shared" si="20"/>
        <v>0.64098214285714283</v>
      </c>
    </row>
    <row r="155" spans="1:21" x14ac:dyDescent="0.3">
      <c r="A155" s="1">
        <v>154</v>
      </c>
      <c r="B155" s="1" t="s">
        <v>293</v>
      </c>
      <c r="C155" s="4">
        <v>45335.458333333336</v>
      </c>
      <c r="D155" s="5">
        <f t="shared" si="14"/>
        <v>45335</v>
      </c>
      <c r="E155" s="3">
        <f t="shared" si="15"/>
        <v>11</v>
      </c>
      <c r="F155" s="1" t="str" cm="1">
        <f t="array" ref="F155">_xlfn.IFS(
E155&lt;11,"Morning",
E155&lt;15,"Afternoon",
TRUE,"Evening"
)</f>
        <v>Afternoon</v>
      </c>
      <c r="G155" s="3" t="str">
        <f t="shared" si="16"/>
        <v>Tue</v>
      </c>
      <c r="H155" s="1" t="s">
        <v>155</v>
      </c>
      <c r="I155" s="1" t="s">
        <v>146</v>
      </c>
      <c r="J155" s="1" t="s">
        <v>128</v>
      </c>
      <c r="K155" s="1" t="str">
        <f>_xlfn.XLOOKUP($J155, items_clean!$A:$A, items_clean!$B:$B, "")</f>
        <v>CDR-CMO-LG</v>
      </c>
      <c r="L155" s="1" t="str">
        <f>_xlfn.XLOOKUP($J155, items_clean!$A:$A, items_clean!$C:$C, "")</f>
        <v>Cold Mocha</v>
      </c>
      <c r="M155" s="1" t="str">
        <f>_xlfn.XLOOKUP($J155, items_clean!$A:$A, items_clean!$D:$D, "")</f>
        <v>Cold Drinks</v>
      </c>
      <c r="N155" s="1" t="str">
        <f>_xlfn.XLOOKUP($J155, items_clean!$A:$A, items_clean!$E:$E, "")</f>
        <v>Large</v>
      </c>
      <c r="O155" s="3">
        <v>1</v>
      </c>
      <c r="P155" s="2">
        <f>_xlfn.XLOOKUP($J155, items_clean!$A:$A, items_clean!$F:$F, "")</f>
        <v>4.5999999999999996</v>
      </c>
      <c r="Q155" s="2">
        <f t="shared" si="17"/>
        <v>4.5999999999999996</v>
      </c>
      <c r="R155" s="7">
        <f>_xlfn.XLOOKUP(K155, recipe_cost!$A:$A, recipe_cost!$B:$B, "")</f>
        <v>0.56669999999999998</v>
      </c>
      <c r="S155" s="10">
        <f t="shared" si="18"/>
        <v>0.56669999999999998</v>
      </c>
      <c r="T155" s="10">
        <f t="shared" si="19"/>
        <v>4.0332999999999997</v>
      </c>
      <c r="U155" s="9">
        <f t="shared" si="20"/>
        <v>0.87680434782608696</v>
      </c>
    </row>
    <row r="156" spans="1:21" x14ac:dyDescent="0.3">
      <c r="A156" s="1">
        <v>155</v>
      </c>
      <c r="B156" s="1" t="s">
        <v>294</v>
      </c>
      <c r="C156" s="4">
        <v>45335.46875</v>
      </c>
      <c r="D156" s="5">
        <f t="shared" si="14"/>
        <v>45335</v>
      </c>
      <c r="E156" s="3">
        <f t="shared" si="15"/>
        <v>11</v>
      </c>
      <c r="F156" s="1" t="str" cm="1">
        <f t="array" ref="F156">_xlfn.IFS(
E156&lt;11,"Morning",
E156&lt;15,"Afternoon",
TRUE,"Evening"
)</f>
        <v>Afternoon</v>
      </c>
      <c r="G156" s="3" t="str">
        <f t="shared" si="16"/>
        <v>Tue</v>
      </c>
      <c r="H156" s="1" t="s">
        <v>145</v>
      </c>
      <c r="I156" s="1" t="s">
        <v>149</v>
      </c>
      <c r="J156" s="1" t="s">
        <v>100</v>
      </c>
      <c r="K156" s="1" t="str">
        <f>_xlfn.XLOOKUP($J156, items_clean!$A:$A, items_clean!$B:$B, "")</f>
        <v>HDR-CAP-LG</v>
      </c>
      <c r="L156" s="1" t="str">
        <f>_xlfn.XLOOKUP($J156, items_clean!$A:$A, items_clean!$C:$C, "")</f>
        <v>Cappuccino</v>
      </c>
      <c r="M156" s="1" t="str">
        <f>_xlfn.XLOOKUP($J156, items_clean!$A:$A, items_clean!$D:$D, "")</f>
        <v>Hot Drinks</v>
      </c>
      <c r="N156" s="1" t="str">
        <f>_xlfn.XLOOKUP($J156, items_clean!$A:$A, items_clean!$E:$E, "")</f>
        <v>Large</v>
      </c>
      <c r="O156" s="3">
        <v>1</v>
      </c>
      <c r="P156" s="2">
        <f>_xlfn.XLOOKUP($J156, items_clean!$A:$A, items_clean!$F:$F, "")</f>
        <v>3.75</v>
      </c>
      <c r="Q156" s="2">
        <f t="shared" si="17"/>
        <v>3.75</v>
      </c>
      <c r="R156" s="7">
        <f>_xlfn.XLOOKUP(K156, recipe_cost!$A:$A, recipe_cost!$B:$B, "")</f>
        <v>0.33599999999999997</v>
      </c>
      <c r="S156" s="10">
        <f t="shared" si="18"/>
        <v>0.33599999999999997</v>
      </c>
      <c r="T156" s="10">
        <f t="shared" si="19"/>
        <v>3.4140000000000001</v>
      </c>
      <c r="U156" s="9">
        <f t="shared" si="20"/>
        <v>0.91039999999999999</v>
      </c>
    </row>
    <row r="157" spans="1:21" x14ac:dyDescent="0.3">
      <c r="A157" s="1">
        <v>156</v>
      </c>
      <c r="B157" s="1" t="s">
        <v>295</v>
      </c>
      <c r="C157" s="4">
        <v>45335.478472222225</v>
      </c>
      <c r="D157" s="5">
        <f t="shared" si="14"/>
        <v>45335</v>
      </c>
      <c r="E157" s="3">
        <f t="shared" si="15"/>
        <v>11</v>
      </c>
      <c r="F157" s="1" t="str" cm="1">
        <f t="array" ref="F157">_xlfn.IFS(
E157&lt;11,"Morning",
E157&lt;15,"Afternoon",
TRUE,"Evening"
)</f>
        <v>Afternoon</v>
      </c>
      <c r="G157" s="3" t="str">
        <f t="shared" si="16"/>
        <v>Tue</v>
      </c>
      <c r="H157" s="1" t="s">
        <v>249</v>
      </c>
      <c r="I157" s="1" t="s">
        <v>146</v>
      </c>
      <c r="J157" s="1" t="s">
        <v>116</v>
      </c>
      <c r="K157" s="1" t="str">
        <f>_xlfn.XLOOKUP($J157, items_clean!$A:$A, items_clean!$B:$B, "")</f>
        <v>HDR-WMO-MD</v>
      </c>
      <c r="L157" s="1" t="str">
        <f>_xlfn.XLOOKUP($J157, items_clean!$A:$A, items_clean!$C:$C, "")</f>
        <v>White Mocha</v>
      </c>
      <c r="M157" s="1" t="str">
        <f>_xlfn.XLOOKUP($J157, items_clean!$A:$A, items_clean!$D:$D, "")</f>
        <v>Hot Drinks</v>
      </c>
      <c r="N157" s="1" t="str">
        <f>_xlfn.XLOOKUP($J157, items_clean!$A:$A, items_clean!$E:$E, "")</f>
        <v>Medium</v>
      </c>
      <c r="O157" s="3">
        <v>1</v>
      </c>
      <c r="P157" s="2">
        <f>_xlfn.XLOOKUP($J157, items_clean!$A:$A, items_clean!$F:$F, "")</f>
        <v>4.5</v>
      </c>
      <c r="Q157" s="2">
        <f t="shared" si="17"/>
        <v>4.5</v>
      </c>
      <c r="R157" s="7">
        <f>_xlfn.XLOOKUP(K157, recipe_cost!$A:$A, recipe_cost!$B:$B, "")</f>
        <v>0.4098</v>
      </c>
      <c r="S157" s="10">
        <f t="shared" si="18"/>
        <v>0.4098</v>
      </c>
      <c r="T157" s="10">
        <f t="shared" si="19"/>
        <v>4.0902000000000003</v>
      </c>
      <c r="U157" s="9">
        <f t="shared" si="20"/>
        <v>0.90893333333333337</v>
      </c>
    </row>
    <row r="158" spans="1:21" x14ac:dyDescent="0.3">
      <c r="A158" s="1">
        <v>157</v>
      </c>
      <c r="B158" s="1" t="s">
        <v>296</v>
      </c>
      <c r="C158" s="4">
        <v>45335.488194444442</v>
      </c>
      <c r="D158" s="5">
        <f t="shared" si="14"/>
        <v>45335</v>
      </c>
      <c r="E158" s="3">
        <f t="shared" si="15"/>
        <v>11</v>
      </c>
      <c r="F158" s="1" t="str" cm="1">
        <f t="array" ref="F158">_xlfn.IFS(
E158&lt;11,"Morning",
E158&lt;15,"Afternoon",
TRUE,"Evening"
)</f>
        <v>Afternoon</v>
      </c>
      <c r="G158" s="3" t="str">
        <f t="shared" si="16"/>
        <v>Tue</v>
      </c>
      <c r="H158" s="1" t="s">
        <v>163</v>
      </c>
      <c r="I158" s="1" t="s">
        <v>778</v>
      </c>
      <c r="J158" s="1" t="s">
        <v>131</v>
      </c>
      <c r="K158" s="1" t="str">
        <f>_xlfn.XLOOKUP($J158, items_clean!$A:$A, items_clean!$B:$B, "")</f>
        <v>CDR-ICT-LG</v>
      </c>
      <c r="L158" s="1" t="str">
        <f>_xlfn.XLOOKUP($J158, items_clean!$A:$A, items_clean!$C:$C, "")</f>
        <v>Iced Tea</v>
      </c>
      <c r="M158" s="1" t="str">
        <f>_xlfn.XLOOKUP($J158, items_clean!$A:$A, items_clean!$D:$D, "")</f>
        <v>Cold Drinks</v>
      </c>
      <c r="N158" s="1" t="str">
        <f>_xlfn.XLOOKUP($J158, items_clean!$A:$A, items_clean!$E:$E, "")</f>
        <v>Large</v>
      </c>
      <c r="O158" s="3">
        <v>1</v>
      </c>
      <c r="P158" s="2">
        <f>_xlfn.XLOOKUP($J158, items_clean!$A:$A, items_clean!$F:$F, "")</f>
        <v>3.55</v>
      </c>
      <c r="Q158" s="2">
        <f t="shared" si="17"/>
        <v>3.55</v>
      </c>
      <c r="R158" s="7">
        <f>_xlfn.XLOOKUP(K158, recipe_cost!$A:$A, recipe_cost!$B:$B, "")</f>
        <v>0.26984999999999998</v>
      </c>
      <c r="S158" s="10">
        <f t="shared" si="18"/>
        <v>0.26984999999999998</v>
      </c>
      <c r="T158" s="10">
        <f t="shared" si="19"/>
        <v>3.2801499999999999</v>
      </c>
      <c r="U158" s="9">
        <f t="shared" si="20"/>
        <v>0.92398591549295772</v>
      </c>
    </row>
    <row r="159" spans="1:21" x14ac:dyDescent="0.3">
      <c r="A159" s="1">
        <v>158</v>
      </c>
      <c r="B159" s="1" t="s">
        <v>297</v>
      </c>
      <c r="C159" s="4">
        <v>45335.497916666667</v>
      </c>
      <c r="D159" s="5">
        <f t="shared" si="14"/>
        <v>45335</v>
      </c>
      <c r="E159" s="3">
        <f t="shared" si="15"/>
        <v>11</v>
      </c>
      <c r="F159" s="1" t="str" cm="1">
        <f t="array" ref="F159">_xlfn.IFS(
E159&lt;11,"Morning",
E159&lt;15,"Afternoon",
TRUE,"Evening"
)</f>
        <v>Afternoon</v>
      </c>
      <c r="G159" s="3" t="str">
        <f t="shared" si="16"/>
        <v>Tue</v>
      </c>
      <c r="H159" s="1" t="s">
        <v>256</v>
      </c>
      <c r="I159" s="1" t="s">
        <v>146</v>
      </c>
      <c r="J159" s="1" t="s">
        <v>111</v>
      </c>
      <c r="K159" s="1" t="str">
        <f>_xlfn.XLOOKUP($J159, items_clean!$A:$A, items_clean!$B:$B, "")</f>
        <v>HDR-ESP</v>
      </c>
      <c r="L159" s="1" t="str">
        <f>_xlfn.XLOOKUP($J159, items_clean!$A:$A, items_clean!$C:$C, "")</f>
        <v>Espresso</v>
      </c>
      <c r="M159" s="1" t="str">
        <f>_xlfn.XLOOKUP($J159, items_clean!$A:$A, items_clean!$D:$D, "")</f>
        <v>Hot Drinks</v>
      </c>
      <c r="N159" s="1" t="str">
        <f>_xlfn.XLOOKUP($J159, items_clean!$A:$A, items_clean!$E:$E, "")</f>
        <v>N/A</v>
      </c>
      <c r="O159" s="3">
        <v>1</v>
      </c>
      <c r="P159" s="2">
        <f>_xlfn.XLOOKUP($J159, items_clean!$A:$A, items_clean!$F:$F, "")</f>
        <v>2.15</v>
      </c>
      <c r="Q159" s="2">
        <f t="shared" si="17"/>
        <v>2.15</v>
      </c>
      <c r="R159" s="7">
        <f>_xlfn.XLOOKUP(K159, recipe_cost!$A:$A, recipe_cost!$B:$B, "")</f>
        <v>9.6000000000000002E-2</v>
      </c>
      <c r="S159" s="10">
        <f t="shared" si="18"/>
        <v>9.6000000000000002E-2</v>
      </c>
      <c r="T159" s="10">
        <f t="shared" si="19"/>
        <v>2.0539999999999998</v>
      </c>
      <c r="U159" s="9">
        <f t="shared" si="20"/>
        <v>0.9553488372093023</v>
      </c>
    </row>
    <row r="160" spans="1:21" x14ac:dyDescent="0.3">
      <c r="A160" s="1">
        <v>159</v>
      </c>
      <c r="B160" s="1" t="s">
        <v>298</v>
      </c>
      <c r="C160" s="4">
        <v>45335.502083333333</v>
      </c>
      <c r="D160" s="5">
        <f t="shared" si="14"/>
        <v>45335</v>
      </c>
      <c r="E160" s="3">
        <f t="shared" si="15"/>
        <v>12</v>
      </c>
      <c r="F160" s="1" t="str" cm="1">
        <f t="array" ref="F160">_xlfn.IFS(
E160&lt;11,"Morning",
E160&lt;15,"Afternoon",
TRUE,"Evening"
)</f>
        <v>Afternoon</v>
      </c>
      <c r="G160" s="3" t="str">
        <f t="shared" si="16"/>
        <v>Tue</v>
      </c>
      <c r="H160" s="1" t="s">
        <v>253</v>
      </c>
      <c r="I160" s="1" t="s">
        <v>149</v>
      </c>
      <c r="J160" s="1" t="s">
        <v>134</v>
      </c>
      <c r="K160" s="1" t="str">
        <f>_xlfn.XLOOKUP($J160, items_clean!$A:$A, items_clean!$B:$B, "")</f>
        <v>CDR-LMN-LG</v>
      </c>
      <c r="L160" s="1" t="str">
        <f>_xlfn.XLOOKUP($J160, items_clean!$A:$A, items_clean!$C:$C, "")</f>
        <v>Lemonade</v>
      </c>
      <c r="M160" s="1" t="str">
        <f>_xlfn.XLOOKUP($J160, items_clean!$A:$A, items_clean!$D:$D, "")</f>
        <v>Cold Drinks</v>
      </c>
      <c r="N160" s="1" t="str">
        <f>_xlfn.XLOOKUP($J160, items_clean!$A:$A, items_clean!$E:$E, "")</f>
        <v>Large</v>
      </c>
      <c r="O160" s="3">
        <v>1</v>
      </c>
      <c r="P160" s="2">
        <f>_xlfn.XLOOKUP($J160, items_clean!$A:$A, items_clean!$F:$F, "")</f>
        <v>3.75</v>
      </c>
      <c r="Q160" s="2">
        <f t="shared" si="17"/>
        <v>3.75</v>
      </c>
      <c r="R160" s="7">
        <f>_xlfn.XLOOKUP(K160, recipe_cost!$A:$A, recipe_cost!$B:$B, "")</f>
        <v>0.36</v>
      </c>
      <c r="S160" s="10">
        <f t="shared" si="18"/>
        <v>0.36</v>
      </c>
      <c r="T160" s="10">
        <f t="shared" si="19"/>
        <v>3.39</v>
      </c>
      <c r="U160" s="9">
        <f t="shared" si="20"/>
        <v>0.90400000000000003</v>
      </c>
    </row>
    <row r="161" spans="1:21" x14ac:dyDescent="0.3">
      <c r="A161" s="1">
        <v>160</v>
      </c>
      <c r="B161" s="1" t="s">
        <v>299</v>
      </c>
      <c r="C161" s="4">
        <v>45335.506944444445</v>
      </c>
      <c r="D161" s="5">
        <f t="shared" si="14"/>
        <v>45335</v>
      </c>
      <c r="E161" s="3">
        <f t="shared" si="15"/>
        <v>12</v>
      </c>
      <c r="F161" s="1" t="str" cm="1">
        <f t="array" ref="F161">_xlfn.IFS(
E161&lt;11,"Morning",
E161&lt;15,"Afternoon",
TRUE,"Evening"
)</f>
        <v>Afternoon</v>
      </c>
      <c r="G161" s="3" t="str">
        <f t="shared" si="16"/>
        <v>Tue</v>
      </c>
      <c r="H161" s="1" t="s">
        <v>145</v>
      </c>
      <c r="I161" s="1" t="s">
        <v>146</v>
      </c>
      <c r="J161" s="1" t="s">
        <v>104</v>
      </c>
      <c r="K161" s="1" t="str">
        <f>_xlfn.XLOOKUP($J161, items_clean!$A:$A, items_clean!$B:$B, "")</f>
        <v>HDR-LAT-LG</v>
      </c>
      <c r="L161" s="1" t="str">
        <f>_xlfn.XLOOKUP($J161, items_clean!$A:$A, items_clean!$C:$C, "")</f>
        <v>Latte</v>
      </c>
      <c r="M161" s="1" t="str">
        <f>_xlfn.XLOOKUP($J161, items_clean!$A:$A, items_clean!$D:$D, "")</f>
        <v>Hot Drinks</v>
      </c>
      <c r="N161" s="1" t="str">
        <f>_xlfn.XLOOKUP($J161, items_clean!$A:$A, items_clean!$E:$E, "")</f>
        <v>Large</v>
      </c>
      <c r="O161" s="3">
        <v>1</v>
      </c>
      <c r="P161" s="2">
        <f>_xlfn.XLOOKUP($J161, items_clean!$A:$A, items_clean!$F:$F, "")</f>
        <v>3.75</v>
      </c>
      <c r="Q161" s="2">
        <f t="shared" si="17"/>
        <v>3.75</v>
      </c>
      <c r="R161" s="7">
        <f>_xlfn.XLOOKUP(K161, recipe_cost!$A:$A, recipe_cost!$B:$B, "")</f>
        <v>0.33599999999999997</v>
      </c>
      <c r="S161" s="10">
        <f t="shared" si="18"/>
        <v>0.33599999999999997</v>
      </c>
      <c r="T161" s="10">
        <f t="shared" si="19"/>
        <v>3.4140000000000001</v>
      </c>
      <c r="U161" s="9">
        <f t="shared" si="20"/>
        <v>0.91039999999999999</v>
      </c>
    </row>
    <row r="162" spans="1:21" x14ac:dyDescent="0.3">
      <c r="A162" s="1">
        <v>161</v>
      </c>
      <c r="B162" s="1" t="s">
        <v>300</v>
      </c>
      <c r="C162" s="4">
        <v>45335.511805555558</v>
      </c>
      <c r="D162" s="5">
        <f t="shared" si="14"/>
        <v>45335</v>
      </c>
      <c r="E162" s="3">
        <f t="shared" si="15"/>
        <v>12</v>
      </c>
      <c r="F162" s="1" t="str" cm="1">
        <f t="array" ref="F162">_xlfn.IFS(
E162&lt;11,"Morning",
E162&lt;15,"Afternoon",
TRUE,"Evening"
)</f>
        <v>Afternoon</v>
      </c>
      <c r="G162" s="3" t="str">
        <f t="shared" si="16"/>
        <v>Tue</v>
      </c>
      <c r="H162" s="1" t="s">
        <v>148</v>
      </c>
      <c r="I162" s="1" t="s">
        <v>149</v>
      </c>
      <c r="J162" s="1" t="s">
        <v>122</v>
      </c>
      <c r="K162" s="1" t="str">
        <f>_xlfn.XLOOKUP($J162, items_clean!$A:$A, items_clean!$B:$B, "")</f>
        <v>CDR-CCF-MD</v>
      </c>
      <c r="L162" s="1" t="str">
        <f>_xlfn.XLOOKUP($J162, items_clean!$A:$A, items_clean!$C:$C, "")</f>
        <v>Cold Coffee</v>
      </c>
      <c r="M162" s="1" t="str">
        <f>_xlfn.XLOOKUP($J162, items_clean!$A:$A, items_clean!$D:$D, "")</f>
        <v>Cold Drinks</v>
      </c>
      <c r="N162" s="1" t="str">
        <f>_xlfn.XLOOKUP($J162, items_clean!$A:$A, items_clean!$E:$E, "")</f>
        <v>Medium</v>
      </c>
      <c r="O162" s="3">
        <v>1</v>
      </c>
      <c r="P162" s="2">
        <f>_xlfn.XLOOKUP($J162, items_clean!$A:$A, items_clean!$F:$F, "")</f>
        <v>3.45</v>
      </c>
      <c r="Q162" s="2">
        <f t="shared" si="17"/>
        <v>3.45</v>
      </c>
      <c r="R162" s="7">
        <f>_xlfn.XLOOKUP(K162, recipe_cost!$A:$A, recipe_cost!$B:$B, "")</f>
        <v>0.252</v>
      </c>
      <c r="S162" s="10">
        <f t="shared" si="18"/>
        <v>0.252</v>
      </c>
      <c r="T162" s="10">
        <f t="shared" si="19"/>
        <v>3.1980000000000004</v>
      </c>
      <c r="U162" s="9">
        <f t="shared" si="20"/>
        <v>0.92695652173913046</v>
      </c>
    </row>
    <row r="163" spans="1:21" x14ac:dyDescent="0.3">
      <c r="A163" s="1">
        <v>162</v>
      </c>
      <c r="B163" s="1" t="s">
        <v>301</v>
      </c>
      <c r="C163" s="4">
        <v>45335.51666666667</v>
      </c>
      <c r="D163" s="5">
        <f t="shared" si="14"/>
        <v>45335</v>
      </c>
      <c r="E163" s="3">
        <f t="shared" si="15"/>
        <v>12</v>
      </c>
      <c r="F163" s="1" t="str" cm="1">
        <f t="array" ref="F163">_xlfn.IFS(
E163&lt;11,"Morning",
E163&lt;15,"Afternoon",
TRUE,"Evening"
)</f>
        <v>Afternoon</v>
      </c>
      <c r="G163" s="3" t="str">
        <f t="shared" si="16"/>
        <v>Tue</v>
      </c>
      <c r="H163" s="1" t="s">
        <v>157</v>
      </c>
      <c r="I163" s="1" t="s">
        <v>778</v>
      </c>
      <c r="J163" s="1" t="s">
        <v>128</v>
      </c>
      <c r="K163" s="1" t="str">
        <f>_xlfn.XLOOKUP($J163, items_clean!$A:$A, items_clean!$B:$B, "")</f>
        <v>CDR-CMO-LG</v>
      </c>
      <c r="L163" s="1" t="str">
        <f>_xlfn.XLOOKUP($J163, items_clean!$A:$A, items_clean!$C:$C, "")</f>
        <v>Cold Mocha</v>
      </c>
      <c r="M163" s="1" t="str">
        <f>_xlfn.XLOOKUP($J163, items_clean!$A:$A, items_clean!$D:$D, "")</f>
        <v>Cold Drinks</v>
      </c>
      <c r="N163" s="1" t="str">
        <f>_xlfn.XLOOKUP($J163, items_clean!$A:$A, items_clean!$E:$E, "")</f>
        <v>Large</v>
      </c>
      <c r="O163" s="3">
        <v>1</v>
      </c>
      <c r="P163" s="2">
        <f>_xlfn.XLOOKUP($J163, items_clean!$A:$A, items_clean!$F:$F, "")</f>
        <v>4.5999999999999996</v>
      </c>
      <c r="Q163" s="2">
        <f t="shared" si="17"/>
        <v>4.5999999999999996</v>
      </c>
      <c r="R163" s="7">
        <f>_xlfn.XLOOKUP(K163, recipe_cost!$A:$A, recipe_cost!$B:$B, "")</f>
        <v>0.56669999999999998</v>
      </c>
      <c r="S163" s="10">
        <f t="shared" si="18"/>
        <v>0.56669999999999998</v>
      </c>
      <c r="T163" s="10">
        <f t="shared" si="19"/>
        <v>4.0332999999999997</v>
      </c>
      <c r="U163" s="9">
        <f t="shared" si="20"/>
        <v>0.87680434782608696</v>
      </c>
    </row>
    <row r="164" spans="1:21" x14ac:dyDescent="0.3">
      <c r="A164" s="1">
        <v>163</v>
      </c>
      <c r="B164" s="1" t="s">
        <v>302</v>
      </c>
      <c r="C164" s="4">
        <v>45335.521527777775</v>
      </c>
      <c r="D164" s="5">
        <f t="shared" si="14"/>
        <v>45335</v>
      </c>
      <c r="E164" s="3">
        <f t="shared" si="15"/>
        <v>12</v>
      </c>
      <c r="F164" s="1" t="str" cm="1">
        <f t="array" ref="F164">_xlfn.IFS(
E164&lt;11,"Morning",
E164&lt;15,"Afternoon",
TRUE,"Evening"
)</f>
        <v>Afternoon</v>
      </c>
      <c r="G164" s="3" t="str">
        <f t="shared" si="16"/>
        <v>Tue</v>
      </c>
      <c r="H164" s="1" t="s">
        <v>151</v>
      </c>
      <c r="I164" s="1" t="s">
        <v>149</v>
      </c>
      <c r="J164" s="1" t="s">
        <v>110</v>
      </c>
      <c r="K164" s="1" t="str">
        <f>_xlfn.XLOOKUP($J164, items_clean!$A:$A, items_clean!$B:$B, "")</f>
        <v>HDR-CRM-LG</v>
      </c>
      <c r="L164" s="1" t="str">
        <f>_xlfn.XLOOKUP($J164, items_clean!$A:$A, items_clean!$C:$C, "")</f>
        <v>Caramel Macchiato</v>
      </c>
      <c r="M164" s="1" t="str">
        <f>_xlfn.XLOOKUP($J164, items_clean!$A:$A, items_clean!$D:$D, "")</f>
        <v>Hot Drinks</v>
      </c>
      <c r="N164" s="1" t="str">
        <f>_xlfn.XLOOKUP($J164, items_clean!$A:$A, items_clean!$E:$E, "")</f>
        <v>Large</v>
      </c>
      <c r="O164" s="3">
        <v>1</v>
      </c>
      <c r="P164" s="2">
        <f>_xlfn.XLOOKUP($J164, items_clean!$A:$A, items_clean!$F:$F, "")</f>
        <v>4.5999999999999996</v>
      </c>
      <c r="Q164" s="2">
        <f t="shared" si="17"/>
        <v>4.5999999999999996</v>
      </c>
      <c r="R164" s="7">
        <f>_xlfn.XLOOKUP(K164, recipe_cost!$A:$A, recipe_cost!$B:$B, "")</f>
        <v>0.56669999999999998</v>
      </c>
      <c r="S164" s="10">
        <f t="shared" si="18"/>
        <v>0.56669999999999998</v>
      </c>
      <c r="T164" s="10">
        <f t="shared" si="19"/>
        <v>4.0332999999999997</v>
      </c>
      <c r="U164" s="9">
        <f t="shared" si="20"/>
        <v>0.87680434782608696</v>
      </c>
    </row>
    <row r="165" spans="1:21" x14ac:dyDescent="0.3">
      <c r="A165" s="1">
        <v>164</v>
      </c>
      <c r="B165" s="1" t="s">
        <v>303</v>
      </c>
      <c r="C165" s="4">
        <v>45335.526388888888</v>
      </c>
      <c r="D165" s="5">
        <f t="shared" si="14"/>
        <v>45335</v>
      </c>
      <c r="E165" s="3">
        <f t="shared" si="15"/>
        <v>12</v>
      </c>
      <c r="F165" s="1" t="str" cm="1">
        <f t="array" ref="F165">_xlfn.IFS(
E165&lt;11,"Morning",
E165&lt;15,"Afternoon",
TRUE,"Evening"
)</f>
        <v>Afternoon</v>
      </c>
      <c r="G165" s="3" t="str">
        <f t="shared" si="16"/>
        <v>Tue</v>
      </c>
      <c r="H165" s="1" t="s">
        <v>153</v>
      </c>
      <c r="I165" s="1" t="s">
        <v>146</v>
      </c>
      <c r="J165" s="1" t="s">
        <v>131</v>
      </c>
      <c r="K165" s="1" t="str">
        <f>_xlfn.XLOOKUP($J165, items_clean!$A:$A, items_clean!$B:$B, "")</f>
        <v>CDR-ICT-LG</v>
      </c>
      <c r="L165" s="1" t="str">
        <f>_xlfn.XLOOKUP($J165, items_clean!$A:$A, items_clean!$C:$C, "")</f>
        <v>Iced Tea</v>
      </c>
      <c r="M165" s="1" t="str">
        <f>_xlfn.XLOOKUP($J165, items_clean!$A:$A, items_clean!$D:$D, "")</f>
        <v>Cold Drinks</v>
      </c>
      <c r="N165" s="1" t="str">
        <f>_xlfn.XLOOKUP($J165, items_clean!$A:$A, items_clean!$E:$E, "")</f>
        <v>Large</v>
      </c>
      <c r="O165" s="3">
        <v>1</v>
      </c>
      <c r="P165" s="2">
        <f>_xlfn.XLOOKUP($J165, items_clean!$A:$A, items_clean!$F:$F, "")</f>
        <v>3.55</v>
      </c>
      <c r="Q165" s="2">
        <f t="shared" si="17"/>
        <v>3.55</v>
      </c>
      <c r="R165" s="7">
        <f>_xlfn.XLOOKUP(K165, recipe_cost!$A:$A, recipe_cost!$B:$B, "")</f>
        <v>0.26984999999999998</v>
      </c>
      <c r="S165" s="10">
        <f t="shared" si="18"/>
        <v>0.26984999999999998</v>
      </c>
      <c r="T165" s="10">
        <f t="shared" si="19"/>
        <v>3.2801499999999999</v>
      </c>
      <c r="U165" s="9">
        <f t="shared" si="20"/>
        <v>0.92398591549295772</v>
      </c>
    </row>
    <row r="166" spans="1:21" x14ac:dyDescent="0.3">
      <c r="A166" s="1">
        <v>165</v>
      </c>
      <c r="B166" s="1" t="s">
        <v>304</v>
      </c>
      <c r="C166" s="4">
        <v>45335.53125</v>
      </c>
      <c r="D166" s="5">
        <f t="shared" si="14"/>
        <v>45335</v>
      </c>
      <c r="E166" s="3">
        <f t="shared" si="15"/>
        <v>12</v>
      </c>
      <c r="F166" s="1" t="str" cm="1">
        <f t="array" ref="F166">_xlfn.IFS(
E166&lt;11,"Morning",
E166&lt;15,"Afternoon",
TRUE,"Evening"
)</f>
        <v>Afternoon</v>
      </c>
      <c r="G166" s="3" t="str">
        <f t="shared" si="16"/>
        <v>Tue</v>
      </c>
      <c r="H166" s="1" t="s">
        <v>155</v>
      </c>
      <c r="I166" s="1" t="s">
        <v>149</v>
      </c>
      <c r="J166" s="1" t="s">
        <v>102</v>
      </c>
      <c r="K166" s="1" t="str">
        <f>_xlfn.XLOOKUP($J166, items_clean!$A:$A, items_clean!$B:$B, "")</f>
        <v>HDR-LAT-MD</v>
      </c>
      <c r="L166" s="1" t="str">
        <f>_xlfn.XLOOKUP($J166, items_clean!$A:$A, items_clean!$C:$C, "")</f>
        <v>Latte</v>
      </c>
      <c r="M166" s="1" t="str">
        <f>_xlfn.XLOOKUP($J166, items_clean!$A:$A, items_clean!$D:$D, "")</f>
        <v>Hot Drinks</v>
      </c>
      <c r="N166" s="1" t="str">
        <f>_xlfn.XLOOKUP($J166, items_clean!$A:$A, items_clean!$E:$E, "")</f>
        <v>Medium</v>
      </c>
      <c r="O166" s="3">
        <v>1</v>
      </c>
      <c r="P166" s="2">
        <f>_xlfn.XLOOKUP($J166, items_clean!$A:$A, items_clean!$F:$F, "")</f>
        <v>3.45</v>
      </c>
      <c r="Q166" s="2">
        <f t="shared" si="17"/>
        <v>3.45</v>
      </c>
      <c r="R166" s="7">
        <f>_xlfn.XLOOKUP(K166, recipe_cost!$A:$A, recipe_cost!$B:$B, "")</f>
        <v>0.252</v>
      </c>
      <c r="S166" s="10">
        <f t="shared" si="18"/>
        <v>0.252</v>
      </c>
      <c r="T166" s="10">
        <f t="shared" si="19"/>
        <v>3.1980000000000004</v>
      </c>
      <c r="U166" s="9">
        <f t="shared" si="20"/>
        <v>0.92695652173913046</v>
      </c>
    </row>
    <row r="167" spans="1:21" x14ac:dyDescent="0.3">
      <c r="A167" s="1">
        <v>166</v>
      </c>
      <c r="B167" s="1" t="s">
        <v>305</v>
      </c>
      <c r="C167" s="4">
        <v>45335.536111111112</v>
      </c>
      <c r="D167" s="5">
        <f t="shared" si="14"/>
        <v>45335</v>
      </c>
      <c r="E167" s="3">
        <f t="shared" si="15"/>
        <v>12</v>
      </c>
      <c r="F167" s="1" t="str" cm="1">
        <f t="array" ref="F167">_xlfn.IFS(
E167&lt;11,"Morning",
E167&lt;15,"Afternoon",
TRUE,"Evening"
)</f>
        <v>Afternoon</v>
      </c>
      <c r="G167" s="3" t="str">
        <f t="shared" si="16"/>
        <v>Tue</v>
      </c>
      <c r="H167" s="1" t="s">
        <v>159</v>
      </c>
      <c r="I167" s="1" t="s">
        <v>146</v>
      </c>
      <c r="J167" s="1" t="s">
        <v>125</v>
      </c>
      <c r="K167" s="1" t="str">
        <f>_xlfn.XLOOKUP($J167, items_clean!$A:$A, items_clean!$B:$B, "")</f>
        <v>CDR-CCF-LG</v>
      </c>
      <c r="L167" s="1" t="str">
        <f>_xlfn.XLOOKUP($J167, items_clean!$A:$A, items_clean!$C:$C, "")</f>
        <v>Cold Coffee</v>
      </c>
      <c r="M167" s="1" t="str">
        <f>_xlfn.XLOOKUP($J167, items_clean!$A:$A, items_clean!$D:$D, "")</f>
        <v>Cold Drinks</v>
      </c>
      <c r="N167" s="1" t="str">
        <f>_xlfn.XLOOKUP($J167, items_clean!$A:$A, items_clean!$E:$E, "")</f>
        <v>Large</v>
      </c>
      <c r="O167" s="3">
        <v>1</v>
      </c>
      <c r="P167" s="2">
        <f>_xlfn.XLOOKUP($J167, items_clean!$A:$A, items_clean!$F:$F, "")</f>
        <v>3.75</v>
      </c>
      <c r="Q167" s="2">
        <f t="shared" si="17"/>
        <v>3.75</v>
      </c>
      <c r="R167" s="7">
        <f>_xlfn.XLOOKUP(K167, recipe_cost!$A:$A, recipe_cost!$B:$B, "")</f>
        <v>0.33599999999999997</v>
      </c>
      <c r="S167" s="10">
        <f t="shared" si="18"/>
        <v>0.33599999999999997</v>
      </c>
      <c r="T167" s="10">
        <f t="shared" si="19"/>
        <v>3.4140000000000001</v>
      </c>
      <c r="U167" s="9">
        <f t="shared" si="20"/>
        <v>0.91039999999999999</v>
      </c>
    </row>
    <row r="168" spans="1:21" x14ac:dyDescent="0.3">
      <c r="A168" s="1">
        <v>167</v>
      </c>
      <c r="B168" s="1" t="s">
        <v>306</v>
      </c>
      <c r="C168" s="4">
        <v>45335.540972222225</v>
      </c>
      <c r="D168" s="5">
        <f t="shared" si="14"/>
        <v>45335</v>
      </c>
      <c r="E168" s="3">
        <f t="shared" si="15"/>
        <v>12</v>
      </c>
      <c r="F168" s="1" t="str" cm="1">
        <f t="array" ref="F168">_xlfn.IFS(
E168&lt;11,"Morning",
E168&lt;15,"Afternoon",
TRUE,"Evening"
)</f>
        <v>Afternoon</v>
      </c>
      <c r="G168" s="3" t="str">
        <f t="shared" si="16"/>
        <v>Tue</v>
      </c>
      <c r="H168" s="1" t="s">
        <v>161</v>
      </c>
      <c r="I168" s="1" t="s">
        <v>149</v>
      </c>
      <c r="J168" s="1" t="s">
        <v>113</v>
      </c>
      <c r="K168" s="1" t="str">
        <f>_xlfn.XLOOKUP($J168, items_clean!$A:$A, items_clean!$B:$B, "")</f>
        <v>HDR-MOC-MD</v>
      </c>
      <c r="L168" s="1" t="str">
        <f>_xlfn.XLOOKUP($J168, items_clean!$A:$A, items_clean!$C:$C, "")</f>
        <v>Mocha</v>
      </c>
      <c r="M168" s="1" t="str">
        <f>_xlfn.XLOOKUP($J168, items_clean!$A:$A, items_clean!$D:$D, "")</f>
        <v>Hot Drinks</v>
      </c>
      <c r="N168" s="1" t="str">
        <f>_xlfn.XLOOKUP($J168, items_clean!$A:$A, items_clean!$E:$E, "")</f>
        <v>Medium</v>
      </c>
      <c r="O168" s="3">
        <v>1</v>
      </c>
      <c r="P168" s="2">
        <f>_xlfn.XLOOKUP($J168, items_clean!$A:$A, items_clean!$F:$F, "")</f>
        <v>4</v>
      </c>
      <c r="Q168" s="2">
        <f t="shared" si="17"/>
        <v>4</v>
      </c>
      <c r="R168" s="7">
        <f>_xlfn.XLOOKUP(K168, recipe_cost!$A:$A, recipe_cost!$B:$B, "")</f>
        <v>0.4098</v>
      </c>
      <c r="S168" s="10">
        <f t="shared" si="18"/>
        <v>0.4098</v>
      </c>
      <c r="T168" s="10">
        <f t="shared" si="19"/>
        <v>3.5901999999999998</v>
      </c>
      <c r="U168" s="9">
        <f t="shared" si="20"/>
        <v>0.89754999999999996</v>
      </c>
    </row>
    <row r="169" spans="1:21" x14ac:dyDescent="0.3">
      <c r="A169" s="1">
        <v>168</v>
      </c>
      <c r="B169" s="1" t="s">
        <v>307</v>
      </c>
      <c r="C169" s="4">
        <v>45335.54583333333</v>
      </c>
      <c r="D169" s="5">
        <f t="shared" si="14"/>
        <v>45335</v>
      </c>
      <c r="E169" s="3">
        <f t="shared" si="15"/>
        <v>13</v>
      </c>
      <c r="F169" s="1" t="str" cm="1">
        <f t="array" ref="F169">_xlfn.IFS(
E169&lt;11,"Morning",
E169&lt;15,"Afternoon",
TRUE,"Evening"
)</f>
        <v>Afternoon</v>
      </c>
      <c r="G169" s="3" t="str">
        <f t="shared" si="16"/>
        <v>Tue</v>
      </c>
      <c r="H169" s="1" t="s">
        <v>163</v>
      </c>
      <c r="I169" s="1" t="s">
        <v>146</v>
      </c>
      <c r="J169" s="1" t="s">
        <v>118</v>
      </c>
      <c r="K169" s="1" t="str">
        <f>_xlfn.XLOOKUP($J169, items_clean!$A:$A, items_clean!$B:$B, "")</f>
        <v>HDR-WMO-LG</v>
      </c>
      <c r="L169" s="1" t="str">
        <f>_xlfn.XLOOKUP($J169, items_clean!$A:$A, items_clean!$C:$C, "")</f>
        <v>White Mocha</v>
      </c>
      <c r="M169" s="1" t="str">
        <f>_xlfn.XLOOKUP($J169, items_clean!$A:$A, items_clean!$D:$D, "")</f>
        <v>Hot Drinks</v>
      </c>
      <c r="N169" s="1" t="str">
        <f>_xlfn.XLOOKUP($J169, items_clean!$A:$A, items_clean!$E:$E, "")</f>
        <v>Large</v>
      </c>
      <c r="O169" s="3">
        <v>1</v>
      </c>
      <c r="P169" s="2">
        <f>_xlfn.XLOOKUP($J169, items_clean!$A:$A, items_clean!$F:$F, "")</f>
        <v>4.7</v>
      </c>
      <c r="Q169" s="2">
        <f t="shared" si="17"/>
        <v>4.7</v>
      </c>
      <c r="R169" s="7">
        <f>_xlfn.XLOOKUP(K169, recipe_cost!$A:$A, recipe_cost!$B:$B, "")</f>
        <v>0.56669999999999998</v>
      </c>
      <c r="S169" s="10">
        <f t="shared" si="18"/>
        <v>0.56669999999999998</v>
      </c>
      <c r="T169" s="10">
        <f t="shared" si="19"/>
        <v>4.1333000000000002</v>
      </c>
      <c r="U169" s="9">
        <f t="shared" si="20"/>
        <v>0.87942553191489359</v>
      </c>
    </row>
    <row r="170" spans="1:21" x14ac:dyDescent="0.3">
      <c r="A170" s="1">
        <v>169</v>
      </c>
      <c r="B170" s="1" t="s">
        <v>308</v>
      </c>
      <c r="C170" s="4">
        <v>45335.550694444442</v>
      </c>
      <c r="D170" s="5">
        <f t="shared" si="14"/>
        <v>45335</v>
      </c>
      <c r="E170" s="3">
        <f t="shared" si="15"/>
        <v>13</v>
      </c>
      <c r="F170" s="1" t="str" cm="1">
        <f t="array" ref="F170">_xlfn.IFS(
E170&lt;11,"Morning",
E170&lt;15,"Afternoon",
TRUE,"Evening"
)</f>
        <v>Afternoon</v>
      </c>
      <c r="G170" s="3" t="str">
        <f t="shared" si="16"/>
        <v>Tue</v>
      </c>
      <c r="H170" s="1" t="s">
        <v>165</v>
      </c>
      <c r="I170" s="1" t="s">
        <v>149</v>
      </c>
      <c r="J170" s="1" t="s">
        <v>96</v>
      </c>
      <c r="K170" s="1" t="str">
        <f>_xlfn.XLOOKUP($J170, items_clean!$A:$A, items_clean!$B:$B, "")</f>
        <v>HDR-CAP-MD</v>
      </c>
      <c r="L170" s="1" t="str">
        <f>_xlfn.XLOOKUP($J170, items_clean!$A:$A, items_clean!$C:$C, "")</f>
        <v>Cappuccino</v>
      </c>
      <c r="M170" s="1" t="str">
        <f>_xlfn.XLOOKUP($J170, items_clean!$A:$A, items_clean!$D:$D, "")</f>
        <v>Hot Drinks</v>
      </c>
      <c r="N170" s="1" t="str">
        <f>_xlfn.XLOOKUP($J170, items_clean!$A:$A, items_clean!$E:$E, "")</f>
        <v>Medium</v>
      </c>
      <c r="O170" s="3">
        <v>1</v>
      </c>
      <c r="P170" s="2">
        <f>_xlfn.XLOOKUP($J170, items_clean!$A:$A, items_clean!$F:$F, "")</f>
        <v>3.45</v>
      </c>
      <c r="Q170" s="2">
        <f t="shared" si="17"/>
        <v>3.45</v>
      </c>
      <c r="R170" s="7">
        <f>_xlfn.XLOOKUP(K170, recipe_cost!$A:$A, recipe_cost!$B:$B, "")</f>
        <v>0.252</v>
      </c>
      <c r="S170" s="10">
        <f t="shared" si="18"/>
        <v>0.252</v>
      </c>
      <c r="T170" s="10">
        <f t="shared" si="19"/>
        <v>3.1980000000000004</v>
      </c>
      <c r="U170" s="9">
        <f t="shared" si="20"/>
        <v>0.92695652173913046</v>
      </c>
    </row>
    <row r="171" spans="1:21" x14ac:dyDescent="0.3">
      <c r="A171" s="1">
        <v>170</v>
      </c>
      <c r="B171" s="1" t="s">
        <v>309</v>
      </c>
      <c r="C171" s="4">
        <v>45335.555555555555</v>
      </c>
      <c r="D171" s="5">
        <f t="shared" si="14"/>
        <v>45335</v>
      </c>
      <c r="E171" s="3">
        <f t="shared" si="15"/>
        <v>13</v>
      </c>
      <c r="F171" s="1" t="str" cm="1">
        <f t="array" ref="F171">_xlfn.IFS(
E171&lt;11,"Morning",
E171&lt;15,"Afternoon",
TRUE,"Evening"
)</f>
        <v>Afternoon</v>
      </c>
      <c r="G171" s="3" t="str">
        <f t="shared" si="16"/>
        <v>Tue</v>
      </c>
      <c r="H171" s="1" t="s">
        <v>167</v>
      </c>
      <c r="I171" s="1" t="s">
        <v>146</v>
      </c>
      <c r="J171" s="1" t="s">
        <v>129</v>
      </c>
      <c r="K171" s="1" t="str">
        <f>_xlfn.XLOOKUP($J171, items_clean!$A:$A, items_clean!$B:$B, "")</f>
        <v>CDR-ICT-MD</v>
      </c>
      <c r="L171" s="1" t="str">
        <f>_xlfn.XLOOKUP($J171, items_clean!$A:$A, items_clean!$C:$C, "")</f>
        <v>Iced Tea</v>
      </c>
      <c r="M171" s="1" t="str">
        <f>_xlfn.XLOOKUP($J171, items_clean!$A:$A, items_clean!$D:$D, "")</f>
        <v>Cold Drinks</v>
      </c>
      <c r="N171" s="1" t="str">
        <f>_xlfn.XLOOKUP($J171, items_clean!$A:$A, items_clean!$E:$E, "")</f>
        <v>Medium</v>
      </c>
      <c r="O171" s="3">
        <v>1</v>
      </c>
      <c r="P171" s="2">
        <f>_xlfn.XLOOKUP($J171, items_clean!$A:$A, items_clean!$F:$F, "")</f>
        <v>3.25</v>
      </c>
      <c r="Q171" s="2">
        <f t="shared" si="17"/>
        <v>3.25</v>
      </c>
      <c r="R171" s="7">
        <f>_xlfn.XLOOKUP(K171, recipe_cost!$A:$A, recipe_cost!$B:$B, "")</f>
        <v>0.19</v>
      </c>
      <c r="S171" s="10">
        <f t="shared" si="18"/>
        <v>0.19</v>
      </c>
      <c r="T171" s="10">
        <f t="shared" si="19"/>
        <v>3.06</v>
      </c>
      <c r="U171" s="9">
        <f t="shared" si="20"/>
        <v>0.94153846153846155</v>
      </c>
    </row>
    <row r="172" spans="1:21" x14ac:dyDescent="0.3">
      <c r="A172" s="1">
        <v>171</v>
      </c>
      <c r="B172" s="1" t="s">
        <v>310</v>
      </c>
      <c r="C172" s="4">
        <v>45335.560416666667</v>
      </c>
      <c r="D172" s="5">
        <f t="shared" si="14"/>
        <v>45335</v>
      </c>
      <c r="E172" s="3">
        <f t="shared" si="15"/>
        <v>13</v>
      </c>
      <c r="F172" s="1" t="str" cm="1">
        <f t="array" ref="F172">_xlfn.IFS(
E172&lt;11,"Morning",
E172&lt;15,"Afternoon",
TRUE,"Evening"
)</f>
        <v>Afternoon</v>
      </c>
      <c r="G172" s="3" t="str">
        <f t="shared" si="16"/>
        <v>Tue</v>
      </c>
      <c r="H172" s="1" t="s">
        <v>249</v>
      </c>
      <c r="I172" s="1" t="s">
        <v>149</v>
      </c>
      <c r="J172" s="1" t="s">
        <v>105</v>
      </c>
      <c r="K172" s="1" t="str">
        <f>_xlfn.XLOOKUP($J172, items_clean!$A:$A, items_clean!$B:$B, "")</f>
        <v>HDR-FLT</v>
      </c>
      <c r="L172" s="1" t="str">
        <f>_xlfn.XLOOKUP($J172, items_clean!$A:$A, items_clean!$C:$C, "")</f>
        <v>Flat White</v>
      </c>
      <c r="M172" s="1" t="str">
        <f>_xlfn.XLOOKUP($J172, items_clean!$A:$A, items_clean!$D:$D, "")</f>
        <v>Hot Drinks</v>
      </c>
      <c r="N172" s="1" t="str">
        <f>_xlfn.XLOOKUP($J172, items_clean!$A:$A, items_clean!$E:$E, "")</f>
        <v>N/A</v>
      </c>
      <c r="O172" s="3">
        <v>1</v>
      </c>
      <c r="P172" s="2">
        <f>_xlfn.XLOOKUP($J172, items_clean!$A:$A, items_clean!$F:$F, "")</f>
        <v>3.15</v>
      </c>
      <c r="Q172" s="2">
        <f t="shared" si="17"/>
        <v>3.15</v>
      </c>
      <c r="R172" s="7">
        <f>_xlfn.XLOOKUP(K172, recipe_cost!$A:$A, recipe_cost!$B:$B, "")</f>
        <v>0.28799999999999998</v>
      </c>
      <c r="S172" s="10">
        <f t="shared" si="18"/>
        <v>0.28799999999999998</v>
      </c>
      <c r="T172" s="10">
        <f t="shared" si="19"/>
        <v>2.8620000000000001</v>
      </c>
      <c r="U172" s="9">
        <f t="shared" si="20"/>
        <v>0.90857142857142859</v>
      </c>
    </row>
    <row r="173" spans="1:21" x14ac:dyDescent="0.3">
      <c r="A173" s="1">
        <v>172</v>
      </c>
      <c r="B173" s="1" t="s">
        <v>310</v>
      </c>
      <c r="C173" s="4">
        <v>45335.560416666667</v>
      </c>
      <c r="D173" s="5">
        <f t="shared" si="14"/>
        <v>45335</v>
      </c>
      <c r="E173" s="3">
        <f t="shared" si="15"/>
        <v>13</v>
      </c>
      <c r="F173" s="1" t="str" cm="1">
        <f t="array" ref="F173">_xlfn.IFS(
E173&lt;11,"Morning",
E173&lt;15,"Afternoon",
TRUE,"Evening"
)</f>
        <v>Afternoon</v>
      </c>
      <c r="G173" s="3" t="str">
        <f t="shared" si="16"/>
        <v>Tue</v>
      </c>
      <c r="H173" s="1" t="s">
        <v>249</v>
      </c>
      <c r="I173" s="1" t="s">
        <v>778</v>
      </c>
      <c r="J173" s="1" t="s">
        <v>116</v>
      </c>
      <c r="K173" s="1" t="str">
        <f>_xlfn.XLOOKUP($J173, items_clean!$A:$A, items_clean!$B:$B, "")</f>
        <v>HDR-WMO-MD</v>
      </c>
      <c r="L173" s="1" t="str">
        <f>_xlfn.XLOOKUP($J173, items_clean!$A:$A, items_clean!$C:$C, "")</f>
        <v>White Mocha</v>
      </c>
      <c r="M173" s="1" t="str">
        <f>_xlfn.XLOOKUP($J173, items_clean!$A:$A, items_clean!$D:$D, "")</f>
        <v>Hot Drinks</v>
      </c>
      <c r="N173" s="1" t="str">
        <f>_xlfn.XLOOKUP($J173, items_clean!$A:$A, items_clean!$E:$E, "")</f>
        <v>Medium</v>
      </c>
      <c r="O173" s="3">
        <v>1</v>
      </c>
      <c r="P173" s="2">
        <f>_xlfn.XLOOKUP($J173, items_clean!$A:$A, items_clean!$F:$F, "")</f>
        <v>4.5</v>
      </c>
      <c r="Q173" s="2">
        <f t="shared" si="17"/>
        <v>4.5</v>
      </c>
      <c r="R173" s="7">
        <f>_xlfn.XLOOKUP(K173, recipe_cost!$A:$A, recipe_cost!$B:$B, "")</f>
        <v>0.4098</v>
      </c>
      <c r="S173" s="10">
        <f t="shared" si="18"/>
        <v>0.4098</v>
      </c>
      <c r="T173" s="10">
        <f t="shared" si="19"/>
        <v>4.0902000000000003</v>
      </c>
      <c r="U173" s="9">
        <f t="shared" si="20"/>
        <v>0.90893333333333337</v>
      </c>
    </row>
    <row r="174" spans="1:21" x14ac:dyDescent="0.3">
      <c r="A174" s="1">
        <v>173</v>
      </c>
      <c r="B174" s="1" t="s">
        <v>312</v>
      </c>
      <c r="C174" s="4">
        <v>45335.570138888892</v>
      </c>
      <c r="D174" s="5">
        <f t="shared" si="14"/>
        <v>45335</v>
      </c>
      <c r="E174" s="3">
        <f t="shared" si="15"/>
        <v>13</v>
      </c>
      <c r="F174" s="1" t="str" cm="1">
        <f t="array" ref="F174">_xlfn.IFS(
E174&lt;11,"Morning",
E174&lt;15,"Afternoon",
TRUE,"Evening"
)</f>
        <v>Afternoon</v>
      </c>
      <c r="G174" s="3" t="str">
        <f t="shared" si="16"/>
        <v>Tue</v>
      </c>
      <c r="H174" s="1" t="s">
        <v>145</v>
      </c>
      <c r="I174" s="1" t="s">
        <v>149</v>
      </c>
      <c r="J174" s="1" t="s">
        <v>115</v>
      </c>
      <c r="K174" s="1" t="str">
        <f>_xlfn.XLOOKUP($J174, items_clean!$A:$A, items_clean!$B:$B, "")</f>
        <v>HDR-MOC-LG</v>
      </c>
      <c r="L174" s="1" t="str">
        <f>_xlfn.XLOOKUP($J174, items_clean!$A:$A, items_clean!$C:$C, "")</f>
        <v>Mocha</v>
      </c>
      <c r="M174" s="1" t="str">
        <f>_xlfn.XLOOKUP($J174, items_clean!$A:$A, items_clean!$D:$D, "")</f>
        <v>Hot Drinks</v>
      </c>
      <c r="N174" s="1" t="str">
        <f>_xlfn.XLOOKUP($J174, items_clean!$A:$A, items_clean!$E:$E, "")</f>
        <v>Large</v>
      </c>
      <c r="O174" s="3">
        <v>1</v>
      </c>
      <c r="P174" s="2">
        <f>_xlfn.XLOOKUP($J174, items_clean!$A:$A, items_clean!$F:$F, "")</f>
        <v>4.5999999999999996</v>
      </c>
      <c r="Q174" s="2">
        <f t="shared" si="17"/>
        <v>4.5999999999999996</v>
      </c>
      <c r="R174" s="7">
        <f>_xlfn.XLOOKUP(K174, recipe_cost!$A:$A, recipe_cost!$B:$B, "")</f>
        <v>0.56669999999999998</v>
      </c>
      <c r="S174" s="10">
        <f t="shared" si="18"/>
        <v>0.56669999999999998</v>
      </c>
      <c r="T174" s="10">
        <f t="shared" si="19"/>
        <v>4.0332999999999997</v>
      </c>
      <c r="U174" s="9">
        <f t="shared" si="20"/>
        <v>0.87680434782608696</v>
      </c>
    </row>
    <row r="175" spans="1:21" x14ac:dyDescent="0.3">
      <c r="A175" s="1">
        <v>174</v>
      </c>
      <c r="B175" s="1" t="s">
        <v>313</v>
      </c>
      <c r="C175" s="4">
        <v>45335.574999999997</v>
      </c>
      <c r="D175" s="5">
        <f t="shared" si="14"/>
        <v>45335</v>
      </c>
      <c r="E175" s="3">
        <f t="shared" si="15"/>
        <v>13</v>
      </c>
      <c r="F175" s="1" t="str" cm="1">
        <f t="array" ref="F175">_xlfn.IFS(
E175&lt;11,"Morning",
E175&lt;15,"Afternoon",
TRUE,"Evening"
)</f>
        <v>Afternoon</v>
      </c>
      <c r="G175" s="3" t="str">
        <f t="shared" si="16"/>
        <v>Tue</v>
      </c>
      <c r="H175" s="1" t="s">
        <v>253</v>
      </c>
      <c r="I175" s="1" t="s">
        <v>146</v>
      </c>
      <c r="J175" s="1" t="s">
        <v>138</v>
      </c>
      <c r="K175" s="1" t="str">
        <f>_xlfn.XLOOKUP($J175, items_clean!$A:$A, items_clean!$B:$B, "")</f>
        <v>SNK-SSM</v>
      </c>
      <c r="L175" s="1" t="str">
        <f>_xlfn.XLOOKUP($J175, items_clean!$A:$A, items_clean!$C:$C, "")</f>
        <v>Sandwich Salami&amp;Mozzarella</v>
      </c>
      <c r="M175" s="1" t="str">
        <f>_xlfn.XLOOKUP($J175, items_clean!$A:$A, items_clean!$D:$D, "")</f>
        <v>Snacks</v>
      </c>
      <c r="N175" s="1" t="str">
        <f>_xlfn.XLOOKUP($J175, items_clean!$A:$A, items_clean!$E:$E, "")</f>
        <v>N/A</v>
      </c>
      <c r="O175" s="3">
        <v>1</v>
      </c>
      <c r="P175" s="2">
        <f>_xlfn.XLOOKUP($J175, items_clean!$A:$A, items_clean!$F:$F, "")</f>
        <v>5.5</v>
      </c>
      <c r="Q175" s="2">
        <f t="shared" si="17"/>
        <v>5.5</v>
      </c>
      <c r="R175" s="7">
        <f>_xlfn.XLOOKUP(K175, recipe_cost!$A:$A, recipe_cost!$B:$B, "")</f>
        <v>1.3120000000000001</v>
      </c>
      <c r="S175" s="10">
        <f t="shared" si="18"/>
        <v>1.3120000000000001</v>
      </c>
      <c r="T175" s="10">
        <f t="shared" si="19"/>
        <v>4.1879999999999997</v>
      </c>
      <c r="U175" s="9">
        <f t="shared" si="20"/>
        <v>0.76145454545454538</v>
      </c>
    </row>
    <row r="176" spans="1:21" x14ac:dyDescent="0.3">
      <c r="A176" s="1">
        <v>175</v>
      </c>
      <c r="B176" s="1" t="s">
        <v>314</v>
      </c>
      <c r="C176" s="4">
        <v>45335.579861111109</v>
      </c>
      <c r="D176" s="5">
        <f t="shared" si="14"/>
        <v>45335</v>
      </c>
      <c r="E176" s="3">
        <f t="shared" si="15"/>
        <v>13</v>
      </c>
      <c r="F176" s="1" t="str" cm="1">
        <f t="array" ref="F176">_xlfn.IFS(
E176&lt;11,"Morning",
E176&lt;15,"Afternoon",
TRUE,"Evening"
)</f>
        <v>Afternoon</v>
      </c>
      <c r="G176" s="3" t="str">
        <f t="shared" si="16"/>
        <v>Tue</v>
      </c>
      <c r="H176" s="1" t="s">
        <v>148</v>
      </c>
      <c r="I176" s="1" t="s">
        <v>149</v>
      </c>
      <c r="J176" s="1" t="s">
        <v>126</v>
      </c>
      <c r="K176" s="1" t="str">
        <f>_xlfn.XLOOKUP($J176, items_clean!$A:$A, items_clean!$B:$B, "")</f>
        <v>CDR-CMO-MD</v>
      </c>
      <c r="L176" s="1" t="str">
        <f>_xlfn.XLOOKUP($J176, items_clean!$A:$A, items_clean!$C:$C, "")</f>
        <v>Cold Mocha</v>
      </c>
      <c r="M176" s="1" t="str">
        <f>_xlfn.XLOOKUP($J176, items_clean!$A:$A, items_clean!$D:$D, "")</f>
        <v>Cold Drinks</v>
      </c>
      <c r="N176" s="1" t="str">
        <f>_xlfn.XLOOKUP($J176, items_clean!$A:$A, items_clean!$E:$E, "")</f>
        <v>Medium</v>
      </c>
      <c r="O176" s="3">
        <v>1</v>
      </c>
      <c r="P176" s="2">
        <f>_xlfn.XLOOKUP($J176, items_clean!$A:$A, items_clean!$F:$F, "")</f>
        <v>4</v>
      </c>
      <c r="Q176" s="2">
        <f t="shared" si="17"/>
        <v>4</v>
      </c>
      <c r="R176" s="7">
        <f>_xlfn.XLOOKUP(K176, recipe_cost!$A:$A, recipe_cost!$B:$B, "")</f>
        <v>0.4098</v>
      </c>
      <c r="S176" s="10">
        <f t="shared" si="18"/>
        <v>0.4098</v>
      </c>
      <c r="T176" s="10">
        <f t="shared" si="19"/>
        <v>3.5901999999999998</v>
      </c>
      <c r="U176" s="9">
        <f t="shared" si="20"/>
        <v>0.89754999999999996</v>
      </c>
    </row>
    <row r="177" spans="1:21" x14ac:dyDescent="0.3">
      <c r="A177" s="1">
        <v>176</v>
      </c>
      <c r="B177" s="1" t="s">
        <v>314</v>
      </c>
      <c r="C177" s="4">
        <v>45335.579861111109</v>
      </c>
      <c r="D177" s="5">
        <f t="shared" si="14"/>
        <v>45335</v>
      </c>
      <c r="E177" s="3">
        <f t="shared" si="15"/>
        <v>13</v>
      </c>
      <c r="F177" s="1" t="str" cm="1">
        <f t="array" ref="F177">_xlfn.IFS(
E177&lt;11,"Morning",
E177&lt;15,"Afternoon",
TRUE,"Evening"
)</f>
        <v>Afternoon</v>
      </c>
      <c r="G177" s="3" t="str">
        <f t="shared" si="16"/>
        <v>Tue</v>
      </c>
      <c r="H177" s="1" t="s">
        <v>148</v>
      </c>
      <c r="I177" s="1" t="s">
        <v>778</v>
      </c>
      <c r="J177" s="1" t="s">
        <v>132</v>
      </c>
      <c r="K177" s="1" t="str">
        <f>_xlfn.XLOOKUP($J177, items_clean!$A:$A, items_clean!$B:$B, "")</f>
        <v>CDR-LMN-MD</v>
      </c>
      <c r="L177" s="1" t="str">
        <f>_xlfn.XLOOKUP($J177, items_clean!$A:$A, items_clean!$C:$C, "")</f>
        <v>Lemonade</v>
      </c>
      <c r="M177" s="1" t="str">
        <f>_xlfn.XLOOKUP($J177, items_clean!$A:$A, items_clean!$D:$D, "")</f>
        <v>Cold Drinks</v>
      </c>
      <c r="N177" s="1" t="str">
        <f>_xlfn.XLOOKUP($J177, items_clean!$A:$A, items_clean!$E:$E, "")</f>
        <v>Medium</v>
      </c>
      <c r="O177" s="3">
        <v>1</v>
      </c>
      <c r="P177" s="2">
        <f>_xlfn.XLOOKUP($J177, items_clean!$A:$A, items_clean!$F:$F, "")</f>
        <v>3.35</v>
      </c>
      <c r="Q177" s="2">
        <f t="shared" si="17"/>
        <v>3.35</v>
      </c>
      <c r="R177" s="7">
        <f>_xlfn.XLOOKUP(K177, recipe_cost!$A:$A, recipe_cost!$B:$B, "")</f>
        <v>0.34499999999999997</v>
      </c>
      <c r="S177" s="10">
        <f t="shared" si="18"/>
        <v>0.34499999999999997</v>
      </c>
      <c r="T177" s="10">
        <f t="shared" si="19"/>
        <v>3.0049999999999999</v>
      </c>
      <c r="U177" s="9">
        <f t="shared" si="20"/>
        <v>0.89701492537313432</v>
      </c>
    </row>
    <row r="178" spans="1:21" x14ac:dyDescent="0.3">
      <c r="A178" s="1">
        <v>177</v>
      </c>
      <c r="B178" s="1" t="s">
        <v>315</v>
      </c>
      <c r="C178" s="4">
        <v>45335.585416666669</v>
      </c>
      <c r="D178" s="5">
        <f t="shared" si="14"/>
        <v>45335</v>
      </c>
      <c r="E178" s="3">
        <f t="shared" si="15"/>
        <v>14</v>
      </c>
      <c r="F178" s="1" t="str" cm="1">
        <f t="array" ref="F178">_xlfn.IFS(
E178&lt;11,"Morning",
E178&lt;15,"Afternoon",
TRUE,"Evening"
)</f>
        <v>Afternoon</v>
      </c>
      <c r="G178" s="3" t="str">
        <f t="shared" si="16"/>
        <v>Tue</v>
      </c>
      <c r="H178" s="1" t="s">
        <v>157</v>
      </c>
      <c r="I178" s="1" t="s">
        <v>146</v>
      </c>
      <c r="J178" s="1" t="s">
        <v>108</v>
      </c>
      <c r="K178" s="1" t="str">
        <f>_xlfn.XLOOKUP($J178, items_clean!$A:$A, items_clean!$B:$B, "")</f>
        <v>HDR-CRM-MD</v>
      </c>
      <c r="L178" s="1" t="str">
        <f>_xlfn.XLOOKUP($J178, items_clean!$A:$A, items_clean!$C:$C, "")</f>
        <v>Caramel Macchiato</v>
      </c>
      <c r="M178" s="1" t="str">
        <f>_xlfn.XLOOKUP($J178, items_clean!$A:$A, items_clean!$D:$D, "")</f>
        <v>Hot Drinks</v>
      </c>
      <c r="N178" s="1" t="str">
        <f>_xlfn.XLOOKUP($J178, items_clean!$A:$A, items_clean!$E:$E, "")</f>
        <v>Medium</v>
      </c>
      <c r="O178" s="3">
        <v>1</v>
      </c>
      <c r="P178" s="2">
        <f>_xlfn.XLOOKUP($J178, items_clean!$A:$A, items_clean!$F:$F, "")</f>
        <v>4.2</v>
      </c>
      <c r="Q178" s="2">
        <f t="shared" si="17"/>
        <v>4.2</v>
      </c>
      <c r="R178" s="7">
        <f>_xlfn.XLOOKUP(K178, recipe_cost!$A:$A, recipe_cost!$B:$B, "")</f>
        <v>0.4098</v>
      </c>
      <c r="S178" s="10">
        <f t="shared" si="18"/>
        <v>0.4098</v>
      </c>
      <c r="T178" s="10">
        <f t="shared" si="19"/>
        <v>3.7902</v>
      </c>
      <c r="U178" s="9">
        <f t="shared" si="20"/>
        <v>0.90242857142857136</v>
      </c>
    </row>
    <row r="179" spans="1:21" x14ac:dyDescent="0.3">
      <c r="A179" s="1">
        <v>178</v>
      </c>
      <c r="B179" s="1" t="s">
        <v>316</v>
      </c>
      <c r="C179" s="4">
        <v>45335.590277777781</v>
      </c>
      <c r="D179" s="5">
        <f t="shared" si="14"/>
        <v>45335</v>
      </c>
      <c r="E179" s="3">
        <f t="shared" si="15"/>
        <v>14</v>
      </c>
      <c r="F179" s="1" t="str" cm="1">
        <f t="array" ref="F179">_xlfn.IFS(
E179&lt;11,"Morning",
E179&lt;15,"Afternoon",
TRUE,"Evening"
)</f>
        <v>Afternoon</v>
      </c>
      <c r="G179" s="3" t="str">
        <f t="shared" si="16"/>
        <v>Tue</v>
      </c>
      <c r="H179" s="1" t="s">
        <v>151</v>
      </c>
      <c r="I179" s="1" t="s">
        <v>149</v>
      </c>
      <c r="J179" s="1" t="s">
        <v>135</v>
      </c>
      <c r="K179" s="1" t="str">
        <f>_xlfn.XLOOKUP($J179, items_clean!$A:$A, items_clean!$B:$B, "")</f>
        <v>SNK-SHC</v>
      </c>
      <c r="L179" s="1" t="str">
        <f>_xlfn.XLOOKUP($J179, items_clean!$A:$A, items_clean!$C:$C, "")</f>
        <v>Sandwich Ham&amp;Cheese</v>
      </c>
      <c r="M179" s="1" t="str">
        <f>_xlfn.XLOOKUP($J179, items_clean!$A:$A, items_clean!$D:$D, "")</f>
        <v>Snacks</v>
      </c>
      <c r="N179" s="1" t="str">
        <f>_xlfn.XLOOKUP($J179, items_clean!$A:$A, items_clean!$E:$E, "")</f>
        <v>N/A</v>
      </c>
      <c r="O179" s="3">
        <v>1</v>
      </c>
      <c r="P179" s="2">
        <f>_xlfn.XLOOKUP($J179, items_clean!$A:$A, items_clean!$F:$F, "")</f>
        <v>5.6</v>
      </c>
      <c r="Q179" s="2">
        <f t="shared" si="17"/>
        <v>5.6</v>
      </c>
      <c r="R179" s="7">
        <f>_xlfn.XLOOKUP(K179, recipe_cost!$A:$A, recipe_cost!$B:$B, "")</f>
        <v>2.0105</v>
      </c>
      <c r="S179" s="10">
        <f t="shared" si="18"/>
        <v>2.0105</v>
      </c>
      <c r="T179" s="10">
        <f t="shared" si="19"/>
        <v>3.5894999999999997</v>
      </c>
      <c r="U179" s="9">
        <f t="shared" si="20"/>
        <v>0.64098214285714283</v>
      </c>
    </row>
    <row r="180" spans="1:21" x14ac:dyDescent="0.3">
      <c r="A180" s="1">
        <v>179</v>
      </c>
      <c r="B180" s="1" t="s">
        <v>317</v>
      </c>
      <c r="C180" s="4">
        <v>45335.604166666664</v>
      </c>
      <c r="D180" s="5">
        <f t="shared" si="14"/>
        <v>45335</v>
      </c>
      <c r="E180" s="3">
        <f t="shared" si="15"/>
        <v>14</v>
      </c>
      <c r="F180" s="1" t="str" cm="1">
        <f t="array" ref="F180">_xlfn.IFS(
E180&lt;11,"Morning",
E180&lt;15,"Afternoon",
TRUE,"Evening"
)</f>
        <v>Afternoon</v>
      </c>
      <c r="G180" s="3" t="str">
        <f t="shared" si="16"/>
        <v>Tue</v>
      </c>
      <c r="H180" s="1" t="s">
        <v>148</v>
      </c>
      <c r="I180" s="1" t="s">
        <v>146</v>
      </c>
      <c r="J180" s="1" t="s">
        <v>100</v>
      </c>
      <c r="K180" s="1" t="str">
        <f>_xlfn.XLOOKUP($J180, items_clean!$A:$A, items_clean!$B:$B, "")</f>
        <v>HDR-CAP-LG</v>
      </c>
      <c r="L180" s="1" t="str">
        <f>_xlfn.XLOOKUP($J180, items_clean!$A:$A, items_clean!$C:$C, "")</f>
        <v>Cappuccino</v>
      </c>
      <c r="M180" s="1" t="str">
        <f>_xlfn.XLOOKUP($J180, items_clean!$A:$A, items_clean!$D:$D, "")</f>
        <v>Hot Drinks</v>
      </c>
      <c r="N180" s="1" t="str">
        <f>_xlfn.XLOOKUP($J180, items_clean!$A:$A, items_clean!$E:$E, "")</f>
        <v>Large</v>
      </c>
      <c r="O180" s="3">
        <v>1</v>
      </c>
      <c r="P180" s="2">
        <f>_xlfn.XLOOKUP($J180, items_clean!$A:$A, items_clean!$F:$F, "")</f>
        <v>3.75</v>
      </c>
      <c r="Q180" s="2">
        <f t="shared" si="17"/>
        <v>3.75</v>
      </c>
      <c r="R180" s="7">
        <f>_xlfn.XLOOKUP(K180, recipe_cost!$A:$A, recipe_cost!$B:$B, "")</f>
        <v>0.33599999999999997</v>
      </c>
      <c r="S180" s="10">
        <f t="shared" si="18"/>
        <v>0.33599999999999997</v>
      </c>
      <c r="T180" s="10">
        <f t="shared" si="19"/>
        <v>3.4140000000000001</v>
      </c>
      <c r="U180" s="9">
        <f t="shared" si="20"/>
        <v>0.91039999999999999</v>
      </c>
    </row>
    <row r="181" spans="1:21" x14ac:dyDescent="0.3">
      <c r="A181" s="1">
        <v>180</v>
      </c>
      <c r="B181" s="1" t="s">
        <v>318</v>
      </c>
      <c r="C181" s="4">
        <v>45335.618055555555</v>
      </c>
      <c r="D181" s="5">
        <f t="shared" si="14"/>
        <v>45335</v>
      </c>
      <c r="E181" s="3">
        <f t="shared" si="15"/>
        <v>14</v>
      </c>
      <c r="F181" s="1" t="str" cm="1">
        <f t="array" ref="F181">_xlfn.IFS(
E181&lt;11,"Morning",
E181&lt;15,"Afternoon",
TRUE,"Evening"
)</f>
        <v>Afternoon</v>
      </c>
      <c r="G181" s="3" t="str">
        <f t="shared" si="16"/>
        <v>Tue</v>
      </c>
      <c r="H181" s="1" t="s">
        <v>253</v>
      </c>
      <c r="I181" s="1" t="s">
        <v>149</v>
      </c>
      <c r="J181" s="1" t="s">
        <v>128</v>
      </c>
      <c r="K181" s="1" t="str">
        <f>_xlfn.XLOOKUP($J181, items_clean!$A:$A, items_clean!$B:$B, "")</f>
        <v>CDR-CMO-LG</v>
      </c>
      <c r="L181" s="1" t="str">
        <f>_xlfn.XLOOKUP($J181, items_clean!$A:$A, items_clean!$C:$C, "")</f>
        <v>Cold Mocha</v>
      </c>
      <c r="M181" s="1" t="str">
        <f>_xlfn.XLOOKUP($J181, items_clean!$A:$A, items_clean!$D:$D, "")</f>
        <v>Cold Drinks</v>
      </c>
      <c r="N181" s="1" t="str">
        <f>_xlfn.XLOOKUP($J181, items_clean!$A:$A, items_clean!$E:$E, "")</f>
        <v>Large</v>
      </c>
      <c r="O181" s="3">
        <v>1</v>
      </c>
      <c r="P181" s="2">
        <f>_xlfn.XLOOKUP($J181, items_clean!$A:$A, items_clean!$F:$F, "")</f>
        <v>4.5999999999999996</v>
      </c>
      <c r="Q181" s="2">
        <f t="shared" si="17"/>
        <v>4.5999999999999996</v>
      </c>
      <c r="R181" s="7">
        <f>_xlfn.XLOOKUP(K181, recipe_cost!$A:$A, recipe_cost!$B:$B, "")</f>
        <v>0.56669999999999998</v>
      </c>
      <c r="S181" s="10">
        <f t="shared" si="18"/>
        <v>0.56669999999999998</v>
      </c>
      <c r="T181" s="10">
        <f t="shared" si="19"/>
        <v>4.0332999999999997</v>
      </c>
      <c r="U181" s="9">
        <f t="shared" si="20"/>
        <v>0.87680434782608696</v>
      </c>
    </row>
    <row r="182" spans="1:21" x14ac:dyDescent="0.3">
      <c r="A182" s="1">
        <v>181</v>
      </c>
      <c r="B182" s="1" t="s">
        <v>319</v>
      </c>
      <c r="C182" s="4">
        <v>45335.631944444445</v>
      </c>
      <c r="D182" s="5">
        <f t="shared" si="14"/>
        <v>45335</v>
      </c>
      <c r="E182" s="3">
        <f t="shared" si="15"/>
        <v>15</v>
      </c>
      <c r="F182" s="1" t="str" cm="1">
        <f t="array" ref="F182">_xlfn.IFS(
E182&lt;11,"Morning",
E182&lt;15,"Afternoon",
TRUE,"Evening"
)</f>
        <v>Evening</v>
      </c>
      <c r="G182" s="3" t="str">
        <f t="shared" si="16"/>
        <v>Tue</v>
      </c>
      <c r="H182" s="1" t="s">
        <v>145</v>
      </c>
      <c r="I182" s="1" t="s">
        <v>146</v>
      </c>
      <c r="J182" s="1" t="s">
        <v>105</v>
      </c>
      <c r="K182" s="1" t="str">
        <f>_xlfn.XLOOKUP($J182, items_clean!$A:$A, items_clean!$B:$B, "")</f>
        <v>HDR-FLT</v>
      </c>
      <c r="L182" s="1" t="str">
        <f>_xlfn.XLOOKUP($J182, items_clean!$A:$A, items_clean!$C:$C, "")</f>
        <v>Flat White</v>
      </c>
      <c r="M182" s="1" t="str">
        <f>_xlfn.XLOOKUP($J182, items_clean!$A:$A, items_clean!$D:$D, "")</f>
        <v>Hot Drinks</v>
      </c>
      <c r="N182" s="1" t="str">
        <f>_xlfn.XLOOKUP($J182, items_clean!$A:$A, items_clean!$E:$E, "")</f>
        <v>N/A</v>
      </c>
      <c r="O182" s="3">
        <v>1</v>
      </c>
      <c r="P182" s="2">
        <f>_xlfn.XLOOKUP($J182, items_clean!$A:$A, items_clean!$F:$F, "")</f>
        <v>3.15</v>
      </c>
      <c r="Q182" s="2">
        <f t="shared" si="17"/>
        <v>3.15</v>
      </c>
      <c r="R182" s="7">
        <f>_xlfn.XLOOKUP(K182, recipe_cost!$A:$A, recipe_cost!$B:$B, "")</f>
        <v>0.28799999999999998</v>
      </c>
      <c r="S182" s="10">
        <f t="shared" si="18"/>
        <v>0.28799999999999998</v>
      </c>
      <c r="T182" s="10">
        <f t="shared" si="19"/>
        <v>2.8620000000000001</v>
      </c>
      <c r="U182" s="9">
        <f t="shared" si="20"/>
        <v>0.90857142857142859</v>
      </c>
    </row>
    <row r="183" spans="1:21" x14ac:dyDescent="0.3">
      <c r="A183" s="1">
        <v>182</v>
      </c>
      <c r="B183" s="1" t="s">
        <v>321</v>
      </c>
      <c r="C183" s="4">
        <v>45335.659722222219</v>
      </c>
      <c r="D183" s="5">
        <f t="shared" si="14"/>
        <v>45335</v>
      </c>
      <c r="E183" s="3">
        <f t="shared" si="15"/>
        <v>15</v>
      </c>
      <c r="F183" s="1" t="str" cm="1">
        <f t="array" ref="F183">_xlfn.IFS(
E183&lt;11,"Morning",
E183&lt;15,"Afternoon",
TRUE,"Evening"
)</f>
        <v>Evening</v>
      </c>
      <c r="G183" s="3" t="str">
        <f t="shared" si="16"/>
        <v>Tue</v>
      </c>
      <c r="H183" s="1" t="s">
        <v>151</v>
      </c>
      <c r="I183" s="1" t="s">
        <v>146</v>
      </c>
      <c r="J183" s="1" t="s">
        <v>116</v>
      </c>
      <c r="K183" s="1" t="str">
        <f>_xlfn.XLOOKUP($J183, items_clean!$A:$A, items_clean!$B:$B, "")</f>
        <v>HDR-WMO-MD</v>
      </c>
      <c r="L183" s="1" t="str">
        <f>_xlfn.XLOOKUP($J183, items_clean!$A:$A, items_clean!$C:$C, "")</f>
        <v>White Mocha</v>
      </c>
      <c r="M183" s="1" t="str">
        <f>_xlfn.XLOOKUP($J183, items_clean!$A:$A, items_clean!$D:$D, "")</f>
        <v>Hot Drinks</v>
      </c>
      <c r="N183" s="1" t="str">
        <f>_xlfn.XLOOKUP($J183, items_clean!$A:$A, items_clean!$E:$E, "")</f>
        <v>Medium</v>
      </c>
      <c r="O183" s="3">
        <v>1</v>
      </c>
      <c r="P183" s="2">
        <f>_xlfn.XLOOKUP($J183, items_clean!$A:$A, items_clean!$F:$F, "")</f>
        <v>4.5</v>
      </c>
      <c r="Q183" s="2">
        <f t="shared" si="17"/>
        <v>4.5</v>
      </c>
      <c r="R183" s="7">
        <f>_xlfn.XLOOKUP(K183, recipe_cost!$A:$A, recipe_cost!$B:$B, "")</f>
        <v>0.4098</v>
      </c>
      <c r="S183" s="10">
        <f t="shared" si="18"/>
        <v>0.4098</v>
      </c>
      <c r="T183" s="10">
        <f t="shared" si="19"/>
        <v>4.0902000000000003</v>
      </c>
      <c r="U183" s="9">
        <f t="shared" si="20"/>
        <v>0.90893333333333337</v>
      </c>
    </row>
    <row r="184" spans="1:21" x14ac:dyDescent="0.3">
      <c r="A184" s="1">
        <v>183</v>
      </c>
      <c r="B184" s="1" t="s">
        <v>322</v>
      </c>
      <c r="C184" s="4">
        <v>45335.67291666667</v>
      </c>
      <c r="D184" s="5">
        <f t="shared" si="14"/>
        <v>45335</v>
      </c>
      <c r="E184" s="3">
        <f t="shared" si="15"/>
        <v>16</v>
      </c>
      <c r="F184" s="1" t="str" cm="1">
        <f t="array" ref="F184">_xlfn.IFS(
E184&lt;11,"Morning",
E184&lt;15,"Afternoon",
TRUE,"Evening"
)</f>
        <v>Evening</v>
      </c>
      <c r="G184" s="3" t="str">
        <f t="shared" si="16"/>
        <v>Tue</v>
      </c>
      <c r="H184" s="1" t="s">
        <v>153</v>
      </c>
      <c r="I184" s="1" t="s">
        <v>149</v>
      </c>
      <c r="J184" s="1" t="s">
        <v>104</v>
      </c>
      <c r="K184" s="1" t="str">
        <f>_xlfn.XLOOKUP($J184, items_clean!$A:$A, items_clean!$B:$B, "")</f>
        <v>HDR-LAT-LG</v>
      </c>
      <c r="L184" s="1" t="str">
        <f>_xlfn.XLOOKUP($J184, items_clean!$A:$A, items_clean!$C:$C, "")</f>
        <v>Latte</v>
      </c>
      <c r="M184" s="1" t="str">
        <f>_xlfn.XLOOKUP($J184, items_clean!$A:$A, items_clean!$D:$D, "")</f>
        <v>Hot Drinks</v>
      </c>
      <c r="N184" s="1" t="str">
        <f>_xlfn.XLOOKUP($J184, items_clean!$A:$A, items_clean!$E:$E, "")</f>
        <v>Large</v>
      </c>
      <c r="O184" s="3">
        <v>1</v>
      </c>
      <c r="P184" s="2">
        <f>_xlfn.XLOOKUP($J184, items_clean!$A:$A, items_clean!$F:$F, "")</f>
        <v>3.75</v>
      </c>
      <c r="Q184" s="2">
        <f t="shared" si="17"/>
        <v>3.75</v>
      </c>
      <c r="R184" s="7">
        <f>_xlfn.XLOOKUP(K184, recipe_cost!$A:$A, recipe_cost!$B:$B, "")</f>
        <v>0.33599999999999997</v>
      </c>
      <c r="S184" s="10">
        <f t="shared" si="18"/>
        <v>0.33599999999999997</v>
      </c>
      <c r="T184" s="10">
        <f t="shared" si="19"/>
        <v>3.4140000000000001</v>
      </c>
      <c r="U184" s="9">
        <f t="shared" si="20"/>
        <v>0.91039999999999999</v>
      </c>
    </row>
    <row r="185" spans="1:21" x14ac:dyDescent="0.3">
      <c r="A185" s="1">
        <v>184</v>
      </c>
      <c r="B185" s="1" t="s">
        <v>323</v>
      </c>
      <c r="C185" s="4">
        <v>45335.686805555553</v>
      </c>
      <c r="D185" s="5">
        <f t="shared" si="14"/>
        <v>45335</v>
      </c>
      <c r="E185" s="3">
        <f t="shared" si="15"/>
        <v>16</v>
      </c>
      <c r="F185" s="1" t="str" cm="1">
        <f t="array" ref="F185">_xlfn.IFS(
E185&lt;11,"Morning",
E185&lt;15,"Afternoon",
TRUE,"Evening"
)</f>
        <v>Evening</v>
      </c>
      <c r="G185" s="3" t="str">
        <f t="shared" si="16"/>
        <v>Tue</v>
      </c>
      <c r="H185" s="1" t="s">
        <v>155</v>
      </c>
      <c r="I185" s="1" t="s">
        <v>146</v>
      </c>
      <c r="J185" s="1" t="s">
        <v>121</v>
      </c>
      <c r="K185" s="1" t="str">
        <f>_xlfn.XLOOKUP($J185, items_clean!$A:$A, items_clean!$B:$B, "")</f>
        <v>HDR-HCH-LG</v>
      </c>
      <c r="L185" s="1" t="str">
        <f>_xlfn.XLOOKUP($J185, items_clean!$A:$A, items_clean!$C:$C, "")</f>
        <v>Hot Chocolate</v>
      </c>
      <c r="M185" s="1" t="str">
        <f>_xlfn.XLOOKUP($J185, items_clean!$A:$A, items_clean!$D:$D, "")</f>
        <v>Hot Drinks</v>
      </c>
      <c r="N185" s="1" t="str">
        <f>_xlfn.XLOOKUP($J185, items_clean!$A:$A, items_clean!$E:$E, "")</f>
        <v>Large</v>
      </c>
      <c r="O185" s="3">
        <v>1</v>
      </c>
      <c r="P185" s="2">
        <f>_xlfn.XLOOKUP($J185, items_clean!$A:$A, items_clean!$F:$F, "")</f>
        <v>4.5999999999999996</v>
      </c>
      <c r="Q185" s="2">
        <f t="shared" si="17"/>
        <v>4.5999999999999996</v>
      </c>
      <c r="R185" s="7">
        <f>_xlfn.XLOOKUP(K185, recipe_cost!$A:$A, recipe_cost!$B:$B, "")</f>
        <v>1.4809999999999999</v>
      </c>
      <c r="S185" s="10">
        <f t="shared" si="18"/>
        <v>1.4809999999999999</v>
      </c>
      <c r="T185" s="10">
        <f t="shared" si="19"/>
        <v>3.1189999999999998</v>
      </c>
      <c r="U185" s="9">
        <f t="shared" si="20"/>
        <v>0.67804347826086953</v>
      </c>
    </row>
    <row r="186" spans="1:21" x14ac:dyDescent="0.3">
      <c r="A186" s="1">
        <v>185</v>
      </c>
      <c r="B186" s="1" t="s">
        <v>324</v>
      </c>
      <c r="C186" s="4">
        <v>45335.700694444444</v>
      </c>
      <c r="D186" s="5">
        <f t="shared" si="14"/>
        <v>45335</v>
      </c>
      <c r="E186" s="3">
        <f t="shared" si="15"/>
        <v>16</v>
      </c>
      <c r="F186" s="1" t="str" cm="1">
        <f t="array" ref="F186">_xlfn.IFS(
E186&lt;11,"Morning",
E186&lt;15,"Afternoon",
TRUE,"Evening"
)</f>
        <v>Evening</v>
      </c>
      <c r="G186" s="3" t="str">
        <f t="shared" si="16"/>
        <v>Tue</v>
      </c>
      <c r="H186" s="1" t="s">
        <v>159</v>
      </c>
      <c r="I186" s="1" t="s">
        <v>149</v>
      </c>
      <c r="J186" s="1" t="s">
        <v>132</v>
      </c>
      <c r="K186" s="1" t="str">
        <f>_xlfn.XLOOKUP($J186, items_clean!$A:$A, items_clean!$B:$B, "")</f>
        <v>CDR-LMN-MD</v>
      </c>
      <c r="L186" s="1" t="str">
        <f>_xlfn.XLOOKUP($J186, items_clean!$A:$A, items_clean!$C:$C, "")</f>
        <v>Lemonade</v>
      </c>
      <c r="M186" s="1" t="str">
        <f>_xlfn.XLOOKUP($J186, items_clean!$A:$A, items_clean!$D:$D, "")</f>
        <v>Cold Drinks</v>
      </c>
      <c r="N186" s="1" t="str">
        <f>_xlfn.XLOOKUP($J186, items_clean!$A:$A, items_clean!$E:$E, "")</f>
        <v>Medium</v>
      </c>
      <c r="O186" s="3">
        <v>1</v>
      </c>
      <c r="P186" s="2">
        <f>_xlfn.XLOOKUP($J186, items_clean!$A:$A, items_clean!$F:$F, "")</f>
        <v>3.35</v>
      </c>
      <c r="Q186" s="2">
        <f t="shared" si="17"/>
        <v>3.35</v>
      </c>
      <c r="R186" s="7">
        <f>_xlfn.XLOOKUP(K186, recipe_cost!$A:$A, recipe_cost!$B:$B, "")</f>
        <v>0.34499999999999997</v>
      </c>
      <c r="S186" s="10">
        <f t="shared" si="18"/>
        <v>0.34499999999999997</v>
      </c>
      <c r="T186" s="10">
        <f t="shared" si="19"/>
        <v>3.0049999999999999</v>
      </c>
      <c r="U186" s="9">
        <f t="shared" si="20"/>
        <v>0.89701492537313432</v>
      </c>
    </row>
    <row r="187" spans="1:21" x14ac:dyDescent="0.3">
      <c r="A187" s="1">
        <v>186</v>
      </c>
      <c r="B187" s="1" t="s">
        <v>325</v>
      </c>
      <c r="C187" s="4">
        <v>45335.708333333336</v>
      </c>
      <c r="D187" s="5">
        <f t="shared" si="14"/>
        <v>45335</v>
      </c>
      <c r="E187" s="3">
        <f t="shared" si="15"/>
        <v>17</v>
      </c>
      <c r="F187" s="1" t="str" cm="1">
        <f t="array" ref="F187">_xlfn.IFS(
E187&lt;11,"Morning",
E187&lt;15,"Afternoon",
TRUE,"Evening"
)</f>
        <v>Evening</v>
      </c>
      <c r="G187" s="3" t="str">
        <f t="shared" si="16"/>
        <v>Tue</v>
      </c>
      <c r="H187" s="1" t="s">
        <v>161</v>
      </c>
      <c r="I187" s="1" t="s">
        <v>146</v>
      </c>
      <c r="J187" s="1" t="s">
        <v>110</v>
      </c>
      <c r="K187" s="1" t="str">
        <f>_xlfn.XLOOKUP($J187, items_clean!$A:$A, items_clean!$B:$B, "")</f>
        <v>HDR-CRM-LG</v>
      </c>
      <c r="L187" s="1" t="str">
        <f>_xlfn.XLOOKUP($J187, items_clean!$A:$A, items_clean!$C:$C, "")</f>
        <v>Caramel Macchiato</v>
      </c>
      <c r="M187" s="1" t="str">
        <f>_xlfn.XLOOKUP($J187, items_clean!$A:$A, items_clean!$D:$D, "")</f>
        <v>Hot Drinks</v>
      </c>
      <c r="N187" s="1" t="str">
        <f>_xlfn.XLOOKUP($J187, items_clean!$A:$A, items_clean!$E:$E, "")</f>
        <v>Large</v>
      </c>
      <c r="O187" s="3">
        <v>1</v>
      </c>
      <c r="P187" s="2">
        <f>_xlfn.XLOOKUP($J187, items_clean!$A:$A, items_clean!$F:$F, "")</f>
        <v>4.5999999999999996</v>
      </c>
      <c r="Q187" s="2">
        <f t="shared" si="17"/>
        <v>4.5999999999999996</v>
      </c>
      <c r="R187" s="7">
        <f>_xlfn.XLOOKUP(K187, recipe_cost!$A:$A, recipe_cost!$B:$B, "")</f>
        <v>0.56669999999999998</v>
      </c>
      <c r="S187" s="10">
        <f t="shared" si="18"/>
        <v>0.56669999999999998</v>
      </c>
      <c r="T187" s="10">
        <f t="shared" si="19"/>
        <v>4.0332999999999997</v>
      </c>
      <c r="U187" s="9">
        <f t="shared" si="20"/>
        <v>0.87680434782608696</v>
      </c>
    </row>
    <row r="188" spans="1:21" x14ac:dyDescent="0.3">
      <c r="A188" s="1">
        <v>187</v>
      </c>
      <c r="B188" s="1" t="s">
        <v>326</v>
      </c>
      <c r="C188" s="4">
        <v>45336.29583333333</v>
      </c>
      <c r="D188" s="5">
        <f t="shared" si="14"/>
        <v>45336</v>
      </c>
      <c r="E188" s="3">
        <f t="shared" si="15"/>
        <v>7</v>
      </c>
      <c r="F188" s="1" t="str" cm="1">
        <f t="array" ref="F188">_xlfn.IFS(
E188&lt;11,"Morning",
E188&lt;15,"Afternoon",
TRUE,"Evening"
)</f>
        <v>Morning</v>
      </c>
      <c r="G188" s="3" t="str">
        <f t="shared" si="16"/>
        <v>Wed</v>
      </c>
      <c r="H188" s="1" t="s">
        <v>327</v>
      </c>
      <c r="I188" s="1" t="s">
        <v>146</v>
      </c>
      <c r="J188" s="1" t="s">
        <v>96</v>
      </c>
      <c r="K188" s="1" t="str">
        <f>_xlfn.XLOOKUP($J188, items_clean!$A:$A, items_clean!$B:$B, "")</f>
        <v>HDR-CAP-MD</v>
      </c>
      <c r="L188" s="1" t="str">
        <f>_xlfn.XLOOKUP($J188, items_clean!$A:$A, items_clean!$C:$C, "")</f>
        <v>Cappuccino</v>
      </c>
      <c r="M188" s="1" t="str">
        <f>_xlfn.XLOOKUP($J188, items_clean!$A:$A, items_clean!$D:$D, "")</f>
        <v>Hot Drinks</v>
      </c>
      <c r="N188" s="1" t="str">
        <f>_xlfn.XLOOKUP($J188, items_clean!$A:$A, items_clean!$E:$E, "")</f>
        <v>Medium</v>
      </c>
      <c r="O188" s="3">
        <v>1</v>
      </c>
      <c r="P188" s="2">
        <f>_xlfn.XLOOKUP($J188, items_clean!$A:$A, items_clean!$F:$F, "")</f>
        <v>3.45</v>
      </c>
      <c r="Q188" s="2">
        <f t="shared" si="17"/>
        <v>3.45</v>
      </c>
      <c r="R188" s="7">
        <f>_xlfn.XLOOKUP(K188, recipe_cost!$A:$A, recipe_cost!$B:$B, "")</f>
        <v>0.252</v>
      </c>
      <c r="S188" s="10">
        <f t="shared" si="18"/>
        <v>0.252</v>
      </c>
      <c r="T188" s="10">
        <f t="shared" si="19"/>
        <v>3.1980000000000004</v>
      </c>
      <c r="U188" s="9">
        <f t="shared" si="20"/>
        <v>0.92695652173913046</v>
      </c>
    </row>
    <row r="189" spans="1:21" x14ac:dyDescent="0.3">
      <c r="A189" s="1">
        <v>188</v>
      </c>
      <c r="B189" s="1" t="s">
        <v>328</v>
      </c>
      <c r="C189" s="4">
        <v>45336.300694444442</v>
      </c>
      <c r="D189" s="5">
        <f t="shared" si="14"/>
        <v>45336</v>
      </c>
      <c r="E189" s="3">
        <f t="shared" si="15"/>
        <v>7</v>
      </c>
      <c r="F189" s="1" t="str" cm="1">
        <f t="array" ref="F189">_xlfn.IFS(
E189&lt;11,"Morning",
E189&lt;15,"Afternoon",
TRUE,"Evening"
)</f>
        <v>Morning</v>
      </c>
      <c r="G189" s="3" t="str">
        <f t="shared" si="16"/>
        <v>Wed</v>
      </c>
      <c r="H189" s="1" t="s">
        <v>148</v>
      </c>
      <c r="I189" s="1" t="s">
        <v>149</v>
      </c>
      <c r="J189" s="1" t="s">
        <v>121</v>
      </c>
      <c r="K189" s="1" t="str">
        <f>_xlfn.XLOOKUP($J189, items_clean!$A:$A, items_clean!$B:$B, "")</f>
        <v>HDR-HCH-LG</v>
      </c>
      <c r="L189" s="1" t="str">
        <f>_xlfn.XLOOKUP($J189, items_clean!$A:$A, items_clean!$C:$C, "")</f>
        <v>Hot Chocolate</v>
      </c>
      <c r="M189" s="1" t="str">
        <f>_xlfn.XLOOKUP($J189, items_clean!$A:$A, items_clean!$D:$D, "")</f>
        <v>Hot Drinks</v>
      </c>
      <c r="N189" s="1" t="str">
        <f>_xlfn.XLOOKUP($J189, items_clean!$A:$A, items_clean!$E:$E, "")</f>
        <v>Large</v>
      </c>
      <c r="O189" s="3">
        <v>1</v>
      </c>
      <c r="P189" s="2">
        <f>_xlfn.XLOOKUP($J189, items_clean!$A:$A, items_clean!$F:$F, "")</f>
        <v>4.5999999999999996</v>
      </c>
      <c r="Q189" s="2">
        <f t="shared" si="17"/>
        <v>4.5999999999999996</v>
      </c>
      <c r="R189" s="7">
        <f>_xlfn.XLOOKUP(K189, recipe_cost!$A:$A, recipe_cost!$B:$B, "")</f>
        <v>1.4809999999999999</v>
      </c>
      <c r="S189" s="10">
        <f t="shared" si="18"/>
        <v>1.4809999999999999</v>
      </c>
      <c r="T189" s="10">
        <f t="shared" si="19"/>
        <v>3.1189999999999998</v>
      </c>
      <c r="U189" s="9">
        <f t="shared" si="20"/>
        <v>0.67804347826086953</v>
      </c>
    </row>
    <row r="190" spans="1:21" x14ac:dyDescent="0.3">
      <c r="A190" s="1">
        <v>189</v>
      </c>
      <c r="B190" s="1" t="s">
        <v>330</v>
      </c>
      <c r="C190" s="4">
        <v>45336.310416666667</v>
      </c>
      <c r="D190" s="5">
        <f t="shared" si="14"/>
        <v>45336</v>
      </c>
      <c r="E190" s="3">
        <f t="shared" si="15"/>
        <v>7</v>
      </c>
      <c r="F190" s="1" t="str" cm="1">
        <f t="array" ref="F190">_xlfn.IFS(
E190&lt;11,"Morning",
E190&lt;15,"Afternoon",
TRUE,"Evening"
)</f>
        <v>Morning</v>
      </c>
      <c r="G190" s="3" t="str">
        <f t="shared" si="16"/>
        <v>Wed</v>
      </c>
      <c r="H190" s="1" t="s">
        <v>145</v>
      </c>
      <c r="I190" s="1" t="s">
        <v>149</v>
      </c>
      <c r="J190" s="1" t="s">
        <v>111</v>
      </c>
      <c r="K190" s="1" t="str">
        <f>_xlfn.XLOOKUP($J190, items_clean!$A:$A, items_clean!$B:$B, "")</f>
        <v>HDR-ESP</v>
      </c>
      <c r="L190" s="1" t="str">
        <f>_xlfn.XLOOKUP($J190, items_clean!$A:$A, items_clean!$C:$C, "")</f>
        <v>Espresso</v>
      </c>
      <c r="M190" s="1" t="str">
        <f>_xlfn.XLOOKUP($J190, items_clean!$A:$A, items_clean!$D:$D, "")</f>
        <v>Hot Drinks</v>
      </c>
      <c r="N190" s="1" t="str">
        <f>_xlfn.XLOOKUP($J190, items_clean!$A:$A, items_clean!$E:$E, "")</f>
        <v>N/A</v>
      </c>
      <c r="O190" s="3">
        <v>1</v>
      </c>
      <c r="P190" s="2">
        <f>_xlfn.XLOOKUP($J190, items_clean!$A:$A, items_clean!$F:$F, "")</f>
        <v>2.15</v>
      </c>
      <c r="Q190" s="2">
        <f t="shared" si="17"/>
        <v>2.15</v>
      </c>
      <c r="R190" s="7">
        <f>_xlfn.XLOOKUP(K190, recipe_cost!$A:$A, recipe_cost!$B:$B, "")</f>
        <v>9.6000000000000002E-2</v>
      </c>
      <c r="S190" s="10">
        <f t="shared" si="18"/>
        <v>9.6000000000000002E-2</v>
      </c>
      <c r="T190" s="10">
        <f t="shared" si="19"/>
        <v>2.0539999999999998</v>
      </c>
      <c r="U190" s="9">
        <f t="shared" si="20"/>
        <v>0.9553488372093023</v>
      </c>
    </row>
    <row r="191" spans="1:21" x14ac:dyDescent="0.3">
      <c r="A191" s="1">
        <v>190</v>
      </c>
      <c r="B191" s="1" t="s">
        <v>330</v>
      </c>
      <c r="C191" s="4">
        <v>45336.310416666667</v>
      </c>
      <c r="D191" s="5">
        <f t="shared" si="14"/>
        <v>45336</v>
      </c>
      <c r="E191" s="3">
        <f t="shared" si="15"/>
        <v>7</v>
      </c>
      <c r="F191" s="1" t="str" cm="1">
        <f t="array" ref="F191">_xlfn.IFS(
E191&lt;11,"Morning",
E191&lt;15,"Afternoon",
TRUE,"Evening"
)</f>
        <v>Morning</v>
      </c>
      <c r="G191" s="3" t="str">
        <f t="shared" si="16"/>
        <v>Wed</v>
      </c>
      <c r="H191" s="1" t="s">
        <v>145</v>
      </c>
      <c r="I191" s="1" t="s">
        <v>778</v>
      </c>
      <c r="J191" s="1" t="s">
        <v>134</v>
      </c>
      <c r="K191" s="1" t="str">
        <f>_xlfn.XLOOKUP($J191, items_clean!$A:$A, items_clean!$B:$B, "")</f>
        <v>CDR-LMN-LG</v>
      </c>
      <c r="L191" s="1" t="str">
        <f>_xlfn.XLOOKUP($J191, items_clean!$A:$A, items_clean!$C:$C, "")</f>
        <v>Lemonade</v>
      </c>
      <c r="M191" s="1" t="str">
        <f>_xlfn.XLOOKUP($J191, items_clean!$A:$A, items_clean!$D:$D, "")</f>
        <v>Cold Drinks</v>
      </c>
      <c r="N191" s="1" t="str">
        <f>_xlfn.XLOOKUP($J191, items_clean!$A:$A, items_clean!$E:$E, "")</f>
        <v>Large</v>
      </c>
      <c r="O191" s="3">
        <v>1</v>
      </c>
      <c r="P191" s="2">
        <f>_xlfn.XLOOKUP($J191, items_clean!$A:$A, items_clean!$F:$F, "")</f>
        <v>3.75</v>
      </c>
      <c r="Q191" s="2">
        <f t="shared" si="17"/>
        <v>3.75</v>
      </c>
      <c r="R191" s="7">
        <f>_xlfn.XLOOKUP(K191, recipe_cost!$A:$A, recipe_cost!$B:$B, "")</f>
        <v>0.36</v>
      </c>
      <c r="S191" s="10">
        <f t="shared" si="18"/>
        <v>0.36</v>
      </c>
      <c r="T191" s="10">
        <f t="shared" si="19"/>
        <v>3.39</v>
      </c>
      <c r="U191" s="9">
        <f t="shared" si="20"/>
        <v>0.90400000000000003</v>
      </c>
    </row>
    <row r="192" spans="1:21" x14ac:dyDescent="0.3">
      <c r="A192" s="1">
        <v>191</v>
      </c>
      <c r="B192" s="1" t="s">
        <v>331</v>
      </c>
      <c r="C192" s="4">
        <v>45336.31527777778</v>
      </c>
      <c r="D192" s="5">
        <f t="shared" si="14"/>
        <v>45336</v>
      </c>
      <c r="E192" s="3">
        <f t="shared" si="15"/>
        <v>7</v>
      </c>
      <c r="F192" s="1" t="str" cm="1">
        <f t="array" ref="F192">_xlfn.IFS(
E192&lt;11,"Morning",
E192&lt;15,"Afternoon",
TRUE,"Evening"
)</f>
        <v>Morning</v>
      </c>
      <c r="G192" s="3" t="str">
        <f t="shared" si="16"/>
        <v>Wed</v>
      </c>
      <c r="H192" s="1" t="s">
        <v>157</v>
      </c>
      <c r="I192" s="1" t="s">
        <v>146</v>
      </c>
      <c r="J192" s="1" t="s">
        <v>126</v>
      </c>
      <c r="K192" s="1" t="str">
        <f>_xlfn.XLOOKUP($J192, items_clean!$A:$A, items_clean!$B:$B, "")</f>
        <v>CDR-CMO-MD</v>
      </c>
      <c r="L192" s="1" t="str">
        <f>_xlfn.XLOOKUP($J192, items_clean!$A:$A, items_clean!$C:$C, "")</f>
        <v>Cold Mocha</v>
      </c>
      <c r="M192" s="1" t="str">
        <f>_xlfn.XLOOKUP($J192, items_clean!$A:$A, items_clean!$D:$D, "")</f>
        <v>Cold Drinks</v>
      </c>
      <c r="N192" s="1" t="str">
        <f>_xlfn.XLOOKUP($J192, items_clean!$A:$A, items_clean!$E:$E, "")</f>
        <v>Medium</v>
      </c>
      <c r="O192" s="3">
        <v>1</v>
      </c>
      <c r="P192" s="2">
        <f>_xlfn.XLOOKUP($J192, items_clean!$A:$A, items_clean!$F:$F, "")</f>
        <v>4</v>
      </c>
      <c r="Q192" s="2">
        <f t="shared" si="17"/>
        <v>4</v>
      </c>
      <c r="R192" s="7">
        <f>_xlfn.XLOOKUP(K192, recipe_cost!$A:$A, recipe_cost!$B:$B, "")</f>
        <v>0.4098</v>
      </c>
      <c r="S192" s="10">
        <f t="shared" si="18"/>
        <v>0.4098</v>
      </c>
      <c r="T192" s="10">
        <f t="shared" si="19"/>
        <v>3.5901999999999998</v>
      </c>
      <c r="U192" s="9">
        <f t="shared" si="20"/>
        <v>0.89754999999999996</v>
      </c>
    </row>
    <row r="193" spans="1:21" x14ac:dyDescent="0.3">
      <c r="A193" s="1">
        <v>192</v>
      </c>
      <c r="B193" s="1" t="s">
        <v>332</v>
      </c>
      <c r="C193" s="4">
        <v>45336.320138888892</v>
      </c>
      <c r="D193" s="5">
        <f t="shared" si="14"/>
        <v>45336</v>
      </c>
      <c r="E193" s="3">
        <f t="shared" si="15"/>
        <v>7</v>
      </c>
      <c r="F193" s="1" t="str" cm="1">
        <f t="array" ref="F193">_xlfn.IFS(
E193&lt;11,"Morning",
E193&lt;15,"Afternoon",
TRUE,"Evening"
)</f>
        <v>Morning</v>
      </c>
      <c r="G193" s="3" t="str">
        <f t="shared" si="16"/>
        <v>Wed</v>
      </c>
      <c r="H193" s="1" t="s">
        <v>151</v>
      </c>
      <c r="I193" s="1" t="s">
        <v>149</v>
      </c>
      <c r="J193" s="1" t="s">
        <v>105</v>
      </c>
      <c r="K193" s="1" t="str">
        <f>_xlfn.XLOOKUP($J193, items_clean!$A:$A, items_clean!$B:$B, "")</f>
        <v>HDR-FLT</v>
      </c>
      <c r="L193" s="1" t="str">
        <f>_xlfn.XLOOKUP($J193, items_clean!$A:$A, items_clean!$C:$C, "")</f>
        <v>Flat White</v>
      </c>
      <c r="M193" s="1" t="str">
        <f>_xlfn.XLOOKUP($J193, items_clean!$A:$A, items_clean!$D:$D, "")</f>
        <v>Hot Drinks</v>
      </c>
      <c r="N193" s="1" t="str">
        <f>_xlfn.XLOOKUP($J193, items_clean!$A:$A, items_clean!$E:$E, "")</f>
        <v>N/A</v>
      </c>
      <c r="O193" s="3">
        <v>1</v>
      </c>
      <c r="P193" s="2">
        <f>_xlfn.XLOOKUP($J193, items_clean!$A:$A, items_clean!$F:$F, "")</f>
        <v>3.15</v>
      </c>
      <c r="Q193" s="2">
        <f t="shared" si="17"/>
        <v>3.15</v>
      </c>
      <c r="R193" s="7">
        <f>_xlfn.XLOOKUP(K193, recipe_cost!$A:$A, recipe_cost!$B:$B, "")</f>
        <v>0.28799999999999998</v>
      </c>
      <c r="S193" s="10">
        <f t="shared" si="18"/>
        <v>0.28799999999999998</v>
      </c>
      <c r="T193" s="10">
        <f t="shared" si="19"/>
        <v>2.8620000000000001</v>
      </c>
      <c r="U193" s="9">
        <f t="shared" si="20"/>
        <v>0.90857142857142859</v>
      </c>
    </row>
    <row r="194" spans="1:21" x14ac:dyDescent="0.3">
      <c r="A194" s="1">
        <v>193</v>
      </c>
      <c r="B194" s="1" t="s">
        <v>333</v>
      </c>
      <c r="C194" s="4">
        <v>45336.325694444444</v>
      </c>
      <c r="D194" s="5">
        <f t="shared" si="14"/>
        <v>45336</v>
      </c>
      <c r="E194" s="3">
        <f t="shared" si="15"/>
        <v>7</v>
      </c>
      <c r="F194" s="1" t="str" cm="1">
        <f t="array" ref="F194">_xlfn.IFS(
E194&lt;11,"Morning",
E194&lt;15,"Afternoon",
TRUE,"Evening"
)</f>
        <v>Morning</v>
      </c>
      <c r="G194" s="3" t="str">
        <f t="shared" si="16"/>
        <v>Wed</v>
      </c>
      <c r="H194" s="1" t="s">
        <v>153</v>
      </c>
      <c r="I194" s="1" t="s">
        <v>146</v>
      </c>
      <c r="J194" s="1" t="s">
        <v>135</v>
      </c>
      <c r="K194" s="1" t="str">
        <f>_xlfn.XLOOKUP($J194, items_clean!$A:$A, items_clean!$B:$B, "")</f>
        <v>SNK-SHC</v>
      </c>
      <c r="L194" s="1" t="str">
        <f>_xlfn.XLOOKUP($J194, items_clean!$A:$A, items_clean!$C:$C, "")</f>
        <v>Sandwich Ham&amp;Cheese</v>
      </c>
      <c r="M194" s="1" t="str">
        <f>_xlfn.XLOOKUP($J194, items_clean!$A:$A, items_clean!$D:$D, "")</f>
        <v>Snacks</v>
      </c>
      <c r="N194" s="1" t="str">
        <f>_xlfn.XLOOKUP($J194, items_clean!$A:$A, items_clean!$E:$E, "")</f>
        <v>N/A</v>
      </c>
      <c r="O194" s="3">
        <v>1</v>
      </c>
      <c r="P194" s="2">
        <f>_xlfn.XLOOKUP($J194, items_clean!$A:$A, items_clean!$F:$F, "")</f>
        <v>5.6</v>
      </c>
      <c r="Q194" s="2">
        <f t="shared" si="17"/>
        <v>5.6</v>
      </c>
      <c r="R194" s="7">
        <f>_xlfn.XLOOKUP(K194, recipe_cost!$A:$A, recipe_cost!$B:$B, "")</f>
        <v>2.0105</v>
      </c>
      <c r="S194" s="10">
        <f t="shared" si="18"/>
        <v>2.0105</v>
      </c>
      <c r="T194" s="10">
        <f t="shared" si="19"/>
        <v>3.5894999999999997</v>
      </c>
      <c r="U194" s="9">
        <f t="shared" si="20"/>
        <v>0.64098214285714283</v>
      </c>
    </row>
    <row r="195" spans="1:21" x14ac:dyDescent="0.3">
      <c r="A195" s="1">
        <v>194</v>
      </c>
      <c r="B195" s="1" t="s">
        <v>334</v>
      </c>
      <c r="C195" s="4">
        <v>45336.330555555556</v>
      </c>
      <c r="D195" s="5">
        <f t="shared" ref="D195:D258" si="21">INT(C195)</f>
        <v>45336</v>
      </c>
      <c r="E195" s="3">
        <f t="shared" ref="E195:E258" si="22">HOUR(C195)</f>
        <v>7</v>
      </c>
      <c r="F195" s="1" t="str" cm="1">
        <f t="array" ref="F195">_xlfn.IFS(
E195&lt;11,"Morning",
E195&lt;15,"Afternoon",
TRUE,"Evening"
)</f>
        <v>Morning</v>
      </c>
      <c r="G195" s="3" t="str">
        <f t="shared" ref="G195:G258" si="23">TEXT(C195,"ddd")</f>
        <v>Wed</v>
      </c>
      <c r="H195" s="1" t="s">
        <v>155</v>
      </c>
      <c r="I195" s="1" t="s">
        <v>149</v>
      </c>
      <c r="J195" s="1" t="s">
        <v>116</v>
      </c>
      <c r="K195" s="1" t="str">
        <f>_xlfn.XLOOKUP($J195, items_clean!$A:$A, items_clean!$B:$B, "")</f>
        <v>HDR-WMO-MD</v>
      </c>
      <c r="L195" s="1" t="str">
        <f>_xlfn.XLOOKUP($J195, items_clean!$A:$A, items_clean!$C:$C, "")</f>
        <v>White Mocha</v>
      </c>
      <c r="M195" s="1" t="str">
        <f>_xlfn.XLOOKUP($J195, items_clean!$A:$A, items_clean!$D:$D, "")</f>
        <v>Hot Drinks</v>
      </c>
      <c r="N195" s="1" t="str">
        <f>_xlfn.XLOOKUP($J195, items_clean!$A:$A, items_clean!$E:$E, "")</f>
        <v>Medium</v>
      </c>
      <c r="O195" s="3">
        <v>1</v>
      </c>
      <c r="P195" s="2">
        <f>_xlfn.XLOOKUP($J195, items_clean!$A:$A, items_clean!$F:$F, "")</f>
        <v>4.5</v>
      </c>
      <c r="Q195" s="2">
        <f t="shared" ref="Q195:Q258" si="24">O195*P195</f>
        <v>4.5</v>
      </c>
      <c r="R195" s="7">
        <f>_xlfn.XLOOKUP(K195, recipe_cost!$A:$A, recipe_cost!$B:$B, "")</f>
        <v>0.4098</v>
      </c>
      <c r="S195" s="10">
        <f t="shared" ref="S195:S258" si="25">O195 * R195</f>
        <v>0.4098</v>
      </c>
      <c r="T195" s="10">
        <f t="shared" ref="T195:T258" si="26">Q195-S195</f>
        <v>4.0902000000000003</v>
      </c>
      <c r="U195" s="9">
        <f t="shared" ref="U195:U258" si="27">IF(Q195=0,"",T195/Q195)</f>
        <v>0.90893333333333337</v>
      </c>
    </row>
    <row r="196" spans="1:21" x14ac:dyDescent="0.3">
      <c r="A196" s="1">
        <v>195</v>
      </c>
      <c r="B196" s="1" t="s">
        <v>335</v>
      </c>
      <c r="C196" s="4">
        <v>45336.335416666669</v>
      </c>
      <c r="D196" s="5">
        <f t="shared" si="21"/>
        <v>45336</v>
      </c>
      <c r="E196" s="3">
        <f t="shared" si="22"/>
        <v>8</v>
      </c>
      <c r="F196" s="1" t="str" cm="1">
        <f t="array" ref="F196">_xlfn.IFS(
E196&lt;11,"Morning",
E196&lt;15,"Afternoon",
TRUE,"Evening"
)</f>
        <v>Morning</v>
      </c>
      <c r="G196" s="3" t="str">
        <f t="shared" si="23"/>
        <v>Wed</v>
      </c>
      <c r="H196" s="1" t="s">
        <v>159</v>
      </c>
      <c r="I196" s="1" t="s">
        <v>146</v>
      </c>
      <c r="J196" s="1" t="s">
        <v>129</v>
      </c>
      <c r="K196" s="1" t="str">
        <f>_xlfn.XLOOKUP($J196, items_clean!$A:$A, items_clean!$B:$B, "")</f>
        <v>CDR-ICT-MD</v>
      </c>
      <c r="L196" s="1" t="str">
        <f>_xlfn.XLOOKUP($J196, items_clean!$A:$A, items_clean!$C:$C, "")</f>
        <v>Iced Tea</v>
      </c>
      <c r="M196" s="1" t="str">
        <f>_xlfn.XLOOKUP($J196, items_clean!$A:$A, items_clean!$D:$D, "")</f>
        <v>Cold Drinks</v>
      </c>
      <c r="N196" s="1" t="str">
        <f>_xlfn.XLOOKUP($J196, items_clean!$A:$A, items_clean!$E:$E, "")</f>
        <v>Medium</v>
      </c>
      <c r="O196" s="3">
        <v>1</v>
      </c>
      <c r="P196" s="2">
        <f>_xlfn.XLOOKUP($J196, items_clean!$A:$A, items_clean!$F:$F, "")</f>
        <v>3.25</v>
      </c>
      <c r="Q196" s="2">
        <f t="shared" si="24"/>
        <v>3.25</v>
      </c>
      <c r="R196" s="7">
        <f>_xlfn.XLOOKUP(K196, recipe_cost!$A:$A, recipe_cost!$B:$B, "")</f>
        <v>0.19</v>
      </c>
      <c r="S196" s="10">
        <f t="shared" si="25"/>
        <v>0.19</v>
      </c>
      <c r="T196" s="10">
        <f t="shared" si="26"/>
        <v>3.06</v>
      </c>
      <c r="U196" s="9">
        <f t="shared" si="27"/>
        <v>0.94153846153846155</v>
      </c>
    </row>
    <row r="197" spans="1:21" x14ac:dyDescent="0.3">
      <c r="A197" s="1">
        <v>196</v>
      </c>
      <c r="B197" s="1" t="s">
        <v>336</v>
      </c>
      <c r="C197" s="4">
        <v>45336.340277777781</v>
      </c>
      <c r="D197" s="5">
        <f t="shared" si="21"/>
        <v>45336</v>
      </c>
      <c r="E197" s="3">
        <f t="shared" si="22"/>
        <v>8</v>
      </c>
      <c r="F197" s="1" t="str" cm="1">
        <f t="array" ref="F197">_xlfn.IFS(
E197&lt;11,"Morning",
E197&lt;15,"Afternoon",
TRUE,"Evening"
)</f>
        <v>Morning</v>
      </c>
      <c r="G197" s="3" t="str">
        <f t="shared" si="23"/>
        <v>Wed</v>
      </c>
      <c r="H197" s="1" t="s">
        <v>161</v>
      </c>
      <c r="I197" s="1" t="s">
        <v>149</v>
      </c>
      <c r="J197" s="1" t="s">
        <v>102</v>
      </c>
      <c r="K197" s="1" t="str">
        <f>_xlfn.XLOOKUP($J197, items_clean!$A:$A, items_clean!$B:$B, "")</f>
        <v>HDR-LAT-MD</v>
      </c>
      <c r="L197" s="1" t="str">
        <f>_xlfn.XLOOKUP($J197, items_clean!$A:$A, items_clean!$C:$C, "")</f>
        <v>Latte</v>
      </c>
      <c r="M197" s="1" t="str">
        <f>_xlfn.XLOOKUP($J197, items_clean!$A:$A, items_clean!$D:$D, "")</f>
        <v>Hot Drinks</v>
      </c>
      <c r="N197" s="1" t="str">
        <f>_xlfn.XLOOKUP($J197, items_clean!$A:$A, items_clean!$E:$E, "")</f>
        <v>Medium</v>
      </c>
      <c r="O197" s="3">
        <v>1</v>
      </c>
      <c r="P197" s="2">
        <f>_xlfn.XLOOKUP($J197, items_clean!$A:$A, items_clean!$F:$F, "")</f>
        <v>3.45</v>
      </c>
      <c r="Q197" s="2">
        <f t="shared" si="24"/>
        <v>3.45</v>
      </c>
      <c r="R197" s="7">
        <f>_xlfn.XLOOKUP(K197, recipe_cost!$A:$A, recipe_cost!$B:$B, "")</f>
        <v>0.252</v>
      </c>
      <c r="S197" s="10">
        <f t="shared" si="25"/>
        <v>0.252</v>
      </c>
      <c r="T197" s="10">
        <f t="shared" si="26"/>
        <v>3.1980000000000004</v>
      </c>
      <c r="U197" s="9">
        <f t="shared" si="27"/>
        <v>0.92695652173913046</v>
      </c>
    </row>
    <row r="198" spans="1:21" x14ac:dyDescent="0.3">
      <c r="A198" s="1">
        <v>197</v>
      </c>
      <c r="B198" s="1" t="s">
        <v>338</v>
      </c>
      <c r="C198" s="4">
        <v>45336.35</v>
      </c>
      <c r="D198" s="5">
        <f t="shared" si="21"/>
        <v>45336</v>
      </c>
      <c r="E198" s="3">
        <f t="shared" si="22"/>
        <v>8</v>
      </c>
      <c r="F198" s="1" t="str" cm="1">
        <f t="array" ref="F198">_xlfn.IFS(
E198&lt;11,"Morning",
E198&lt;15,"Afternoon",
TRUE,"Evening"
)</f>
        <v>Morning</v>
      </c>
      <c r="G198" s="3" t="str">
        <f t="shared" si="23"/>
        <v>Wed</v>
      </c>
      <c r="H198" s="1" t="s">
        <v>165</v>
      </c>
      <c r="I198" s="1" t="s">
        <v>149</v>
      </c>
      <c r="J198" s="1" t="s">
        <v>108</v>
      </c>
      <c r="K198" s="1" t="str">
        <f>_xlfn.XLOOKUP($J198, items_clean!$A:$A, items_clean!$B:$B, "")</f>
        <v>HDR-CRM-MD</v>
      </c>
      <c r="L198" s="1" t="str">
        <f>_xlfn.XLOOKUP($J198, items_clean!$A:$A, items_clean!$C:$C, "")</f>
        <v>Caramel Macchiato</v>
      </c>
      <c r="M198" s="1" t="str">
        <f>_xlfn.XLOOKUP($J198, items_clean!$A:$A, items_clean!$D:$D, "")</f>
        <v>Hot Drinks</v>
      </c>
      <c r="N198" s="1" t="str">
        <f>_xlfn.XLOOKUP($J198, items_clean!$A:$A, items_clean!$E:$E, "")</f>
        <v>Medium</v>
      </c>
      <c r="O198" s="3">
        <v>1</v>
      </c>
      <c r="P198" s="2">
        <f>_xlfn.XLOOKUP($J198, items_clean!$A:$A, items_clean!$F:$F, "")</f>
        <v>4.2</v>
      </c>
      <c r="Q198" s="2">
        <f t="shared" si="24"/>
        <v>4.2</v>
      </c>
      <c r="R198" s="7">
        <f>_xlfn.XLOOKUP(K198, recipe_cost!$A:$A, recipe_cost!$B:$B, "")</f>
        <v>0.4098</v>
      </c>
      <c r="S198" s="10">
        <f t="shared" si="25"/>
        <v>0.4098</v>
      </c>
      <c r="T198" s="10">
        <f t="shared" si="26"/>
        <v>3.7902</v>
      </c>
      <c r="U198" s="9">
        <f t="shared" si="27"/>
        <v>0.90242857142857136</v>
      </c>
    </row>
    <row r="199" spans="1:21" x14ac:dyDescent="0.3">
      <c r="A199" s="1">
        <v>198</v>
      </c>
      <c r="B199" s="1" t="s">
        <v>339</v>
      </c>
      <c r="C199" s="4">
        <v>45336.354861111111</v>
      </c>
      <c r="D199" s="5">
        <f t="shared" si="21"/>
        <v>45336</v>
      </c>
      <c r="E199" s="3">
        <f t="shared" si="22"/>
        <v>8</v>
      </c>
      <c r="F199" s="1" t="str" cm="1">
        <f t="array" ref="F199">_xlfn.IFS(
E199&lt;11,"Morning",
E199&lt;15,"Afternoon",
TRUE,"Evening"
)</f>
        <v>Morning</v>
      </c>
      <c r="G199" s="3" t="str">
        <f t="shared" si="23"/>
        <v>Wed</v>
      </c>
      <c r="H199" s="1" t="s">
        <v>167</v>
      </c>
      <c r="I199" s="1" t="s">
        <v>146</v>
      </c>
      <c r="J199" s="1" t="s">
        <v>131</v>
      </c>
      <c r="K199" s="1" t="str">
        <f>_xlfn.XLOOKUP($J199, items_clean!$A:$A, items_clean!$B:$B, "")</f>
        <v>CDR-ICT-LG</v>
      </c>
      <c r="L199" s="1" t="str">
        <f>_xlfn.XLOOKUP($J199, items_clean!$A:$A, items_clean!$C:$C, "")</f>
        <v>Iced Tea</v>
      </c>
      <c r="M199" s="1" t="str">
        <f>_xlfn.XLOOKUP($J199, items_clean!$A:$A, items_clean!$D:$D, "")</f>
        <v>Cold Drinks</v>
      </c>
      <c r="N199" s="1" t="str">
        <f>_xlfn.XLOOKUP($J199, items_clean!$A:$A, items_clean!$E:$E, "")</f>
        <v>Large</v>
      </c>
      <c r="O199" s="3">
        <v>1</v>
      </c>
      <c r="P199" s="2">
        <f>_xlfn.XLOOKUP($J199, items_clean!$A:$A, items_clean!$F:$F, "")</f>
        <v>3.55</v>
      </c>
      <c r="Q199" s="2">
        <f t="shared" si="24"/>
        <v>3.55</v>
      </c>
      <c r="R199" s="7">
        <f>_xlfn.XLOOKUP(K199, recipe_cost!$A:$A, recipe_cost!$B:$B, "")</f>
        <v>0.26984999999999998</v>
      </c>
      <c r="S199" s="10">
        <f t="shared" si="25"/>
        <v>0.26984999999999998</v>
      </c>
      <c r="T199" s="10">
        <f t="shared" si="26"/>
        <v>3.2801499999999999</v>
      </c>
      <c r="U199" s="9">
        <f t="shared" si="27"/>
        <v>0.92398591549295772</v>
      </c>
    </row>
    <row r="200" spans="1:21" x14ac:dyDescent="0.3">
      <c r="A200" s="1">
        <v>199</v>
      </c>
      <c r="B200" s="1" t="s">
        <v>340</v>
      </c>
      <c r="C200" s="4">
        <v>45336.359722222223</v>
      </c>
      <c r="D200" s="5">
        <f t="shared" si="21"/>
        <v>45336</v>
      </c>
      <c r="E200" s="3">
        <f t="shared" si="22"/>
        <v>8</v>
      </c>
      <c r="F200" s="1" t="str" cm="1">
        <f t="array" ref="F200">_xlfn.IFS(
E200&lt;11,"Morning",
E200&lt;15,"Afternoon",
TRUE,"Evening"
)</f>
        <v>Morning</v>
      </c>
      <c r="G200" s="3" t="str">
        <f t="shared" si="23"/>
        <v>Wed</v>
      </c>
      <c r="H200" s="1" t="s">
        <v>249</v>
      </c>
      <c r="I200" s="1" t="s">
        <v>149</v>
      </c>
      <c r="J200" s="1" t="s">
        <v>115</v>
      </c>
      <c r="K200" s="1" t="str">
        <f>_xlfn.XLOOKUP($J200, items_clean!$A:$A, items_clean!$B:$B, "")</f>
        <v>HDR-MOC-LG</v>
      </c>
      <c r="L200" s="1" t="str">
        <f>_xlfn.XLOOKUP($J200, items_clean!$A:$A, items_clean!$C:$C, "")</f>
        <v>Mocha</v>
      </c>
      <c r="M200" s="1" t="str">
        <f>_xlfn.XLOOKUP($J200, items_clean!$A:$A, items_clean!$D:$D, "")</f>
        <v>Hot Drinks</v>
      </c>
      <c r="N200" s="1" t="str">
        <f>_xlfn.XLOOKUP($J200, items_clean!$A:$A, items_clean!$E:$E, "")</f>
        <v>Large</v>
      </c>
      <c r="O200" s="3">
        <v>1</v>
      </c>
      <c r="P200" s="2">
        <f>_xlfn.XLOOKUP($J200, items_clean!$A:$A, items_clean!$F:$F, "")</f>
        <v>4.5999999999999996</v>
      </c>
      <c r="Q200" s="2">
        <f t="shared" si="24"/>
        <v>4.5999999999999996</v>
      </c>
      <c r="R200" s="7">
        <f>_xlfn.XLOOKUP(K200, recipe_cost!$A:$A, recipe_cost!$B:$B, "")</f>
        <v>0.56669999999999998</v>
      </c>
      <c r="S200" s="10">
        <f t="shared" si="25"/>
        <v>0.56669999999999998</v>
      </c>
      <c r="T200" s="10">
        <f t="shared" si="26"/>
        <v>4.0332999999999997</v>
      </c>
      <c r="U200" s="9">
        <f t="shared" si="27"/>
        <v>0.87680434782608696</v>
      </c>
    </row>
    <row r="201" spans="1:21" x14ac:dyDescent="0.3">
      <c r="A201" s="1">
        <v>200</v>
      </c>
      <c r="B201" s="1" t="s">
        <v>341</v>
      </c>
      <c r="C201" s="4">
        <v>45336.364583333336</v>
      </c>
      <c r="D201" s="5">
        <f t="shared" si="21"/>
        <v>45336</v>
      </c>
      <c r="E201" s="3">
        <f t="shared" si="22"/>
        <v>8</v>
      </c>
      <c r="F201" s="1" t="str" cm="1">
        <f t="array" ref="F201">_xlfn.IFS(
E201&lt;11,"Morning",
E201&lt;15,"Afternoon",
TRUE,"Evening"
)</f>
        <v>Morning</v>
      </c>
      <c r="G201" s="3" t="str">
        <f t="shared" si="23"/>
        <v>Wed</v>
      </c>
      <c r="H201" s="1" t="s">
        <v>256</v>
      </c>
      <c r="I201" s="1" t="s">
        <v>778</v>
      </c>
      <c r="J201" s="1" t="s">
        <v>110</v>
      </c>
      <c r="K201" s="1" t="str">
        <f>_xlfn.XLOOKUP($J201, items_clean!$A:$A, items_clean!$B:$B, "")</f>
        <v>HDR-CRM-LG</v>
      </c>
      <c r="L201" s="1" t="str">
        <f>_xlfn.XLOOKUP($J201, items_clean!$A:$A, items_clean!$C:$C, "")</f>
        <v>Caramel Macchiato</v>
      </c>
      <c r="M201" s="1" t="str">
        <f>_xlfn.XLOOKUP($J201, items_clean!$A:$A, items_clean!$D:$D, "")</f>
        <v>Hot Drinks</v>
      </c>
      <c r="N201" s="1" t="str">
        <f>_xlfn.XLOOKUP($J201, items_clean!$A:$A, items_clean!$E:$E, "")</f>
        <v>Large</v>
      </c>
      <c r="O201" s="3">
        <v>1</v>
      </c>
      <c r="P201" s="2">
        <f>_xlfn.XLOOKUP($J201, items_clean!$A:$A, items_clean!$F:$F, "")</f>
        <v>4.5999999999999996</v>
      </c>
      <c r="Q201" s="2">
        <f t="shared" si="24"/>
        <v>4.5999999999999996</v>
      </c>
      <c r="R201" s="7">
        <f>_xlfn.XLOOKUP(K201, recipe_cost!$A:$A, recipe_cost!$B:$B, "")</f>
        <v>0.56669999999999998</v>
      </c>
      <c r="S201" s="10">
        <f t="shared" si="25"/>
        <v>0.56669999999999998</v>
      </c>
      <c r="T201" s="10">
        <f t="shared" si="26"/>
        <v>4.0332999999999997</v>
      </c>
      <c r="U201" s="9">
        <f t="shared" si="27"/>
        <v>0.87680434782608696</v>
      </c>
    </row>
    <row r="202" spans="1:21" x14ac:dyDescent="0.3">
      <c r="A202" s="1">
        <v>201</v>
      </c>
      <c r="B202" s="1" t="s">
        <v>342</v>
      </c>
      <c r="C202" s="4">
        <v>45336.370138888888</v>
      </c>
      <c r="D202" s="5">
        <f t="shared" si="21"/>
        <v>45336</v>
      </c>
      <c r="E202" s="3">
        <f t="shared" si="22"/>
        <v>8</v>
      </c>
      <c r="F202" s="1" t="str" cm="1">
        <f t="array" ref="F202">_xlfn.IFS(
E202&lt;11,"Morning",
E202&lt;15,"Afternoon",
TRUE,"Evening"
)</f>
        <v>Morning</v>
      </c>
      <c r="G202" s="3" t="str">
        <f t="shared" si="23"/>
        <v>Wed</v>
      </c>
      <c r="H202" s="1" t="s">
        <v>145</v>
      </c>
      <c r="I202" s="1" t="s">
        <v>149</v>
      </c>
      <c r="J202" s="1" t="s">
        <v>119</v>
      </c>
      <c r="K202" s="1" t="str">
        <f>_xlfn.XLOOKUP($J202, items_clean!$A:$A, items_clean!$B:$B, "")</f>
        <v>HDR-HCH-MD</v>
      </c>
      <c r="L202" s="1" t="str">
        <f>_xlfn.XLOOKUP($J202, items_clean!$A:$A, items_clean!$C:$C, "")</f>
        <v>Hot Chocolate</v>
      </c>
      <c r="M202" s="1" t="str">
        <f>_xlfn.XLOOKUP($J202, items_clean!$A:$A, items_clean!$D:$D, "")</f>
        <v>Hot Drinks</v>
      </c>
      <c r="N202" s="1" t="str">
        <f>_xlfn.XLOOKUP($J202, items_clean!$A:$A, items_clean!$E:$E, "")</f>
        <v>Medium</v>
      </c>
      <c r="O202" s="3">
        <v>1</v>
      </c>
      <c r="P202" s="2">
        <f>_xlfn.XLOOKUP($J202, items_clean!$A:$A, items_clean!$F:$F, "")</f>
        <v>4.2</v>
      </c>
      <c r="Q202" s="2">
        <f t="shared" si="24"/>
        <v>4.2</v>
      </c>
      <c r="R202" s="7">
        <f>_xlfn.XLOOKUP(K202, recipe_cost!$A:$A, recipe_cost!$B:$B, "")</f>
        <v>1.0509999999999999</v>
      </c>
      <c r="S202" s="10">
        <f t="shared" si="25"/>
        <v>1.0509999999999999</v>
      </c>
      <c r="T202" s="10">
        <f t="shared" si="26"/>
        <v>3.149</v>
      </c>
      <c r="U202" s="9">
        <f t="shared" si="27"/>
        <v>0.74976190476190474</v>
      </c>
    </row>
    <row r="203" spans="1:21" x14ac:dyDescent="0.3">
      <c r="A203" s="1">
        <v>202</v>
      </c>
      <c r="B203" s="1" t="s">
        <v>344</v>
      </c>
      <c r="C203" s="4">
        <v>45336.379861111112</v>
      </c>
      <c r="D203" s="5">
        <f t="shared" si="21"/>
        <v>45336</v>
      </c>
      <c r="E203" s="3">
        <f t="shared" si="22"/>
        <v>9</v>
      </c>
      <c r="F203" s="1" t="str" cm="1">
        <f t="array" ref="F203">_xlfn.IFS(
E203&lt;11,"Morning",
E203&lt;15,"Afternoon",
TRUE,"Evening"
)</f>
        <v>Morning</v>
      </c>
      <c r="G203" s="3" t="str">
        <f t="shared" si="23"/>
        <v>Wed</v>
      </c>
      <c r="H203" s="1" t="s">
        <v>253</v>
      </c>
      <c r="I203" s="1" t="s">
        <v>149</v>
      </c>
      <c r="J203" s="1" t="s">
        <v>104</v>
      </c>
      <c r="K203" s="1" t="str">
        <f>_xlfn.XLOOKUP($J203, items_clean!$A:$A, items_clean!$B:$B, "")</f>
        <v>HDR-LAT-LG</v>
      </c>
      <c r="L203" s="1" t="str">
        <f>_xlfn.XLOOKUP($J203, items_clean!$A:$A, items_clean!$C:$C, "")</f>
        <v>Latte</v>
      </c>
      <c r="M203" s="1" t="str">
        <f>_xlfn.XLOOKUP($J203, items_clean!$A:$A, items_clean!$D:$D, "")</f>
        <v>Hot Drinks</v>
      </c>
      <c r="N203" s="1" t="str">
        <f>_xlfn.XLOOKUP($J203, items_clean!$A:$A, items_clean!$E:$E, "")</f>
        <v>Large</v>
      </c>
      <c r="O203" s="3">
        <v>1</v>
      </c>
      <c r="P203" s="2">
        <f>_xlfn.XLOOKUP($J203, items_clean!$A:$A, items_clean!$F:$F, "")</f>
        <v>3.75</v>
      </c>
      <c r="Q203" s="2">
        <f t="shared" si="24"/>
        <v>3.75</v>
      </c>
      <c r="R203" s="7">
        <f>_xlfn.XLOOKUP(K203, recipe_cost!$A:$A, recipe_cost!$B:$B, "")</f>
        <v>0.33599999999999997</v>
      </c>
      <c r="S203" s="10">
        <f t="shared" si="25"/>
        <v>0.33599999999999997</v>
      </c>
      <c r="T203" s="10">
        <f t="shared" si="26"/>
        <v>3.4140000000000001</v>
      </c>
      <c r="U203" s="9">
        <f t="shared" si="27"/>
        <v>0.91039999999999999</v>
      </c>
    </row>
    <row r="204" spans="1:21" x14ac:dyDescent="0.3">
      <c r="A204" s="1">
        <v>203</v>
      </c>
      <c r="B204" s="1" t="s">
        <v>345</v>
      </c>
      <c r="C204" s="4">
        <v>45336.384722222225</v>
      </c>
      <c r="D204" s="5">
        <f t="shared" si="21"/>
        <v>45336</v>
      </c>
      <c r="E204" s="3">
        <f t="shared" si="22"/>
        <v>9</v>
      </c>
      <c r="F204" s="1" t="str" cm="1">
        <f t="array" ref="F204">_xlfn.IFS(
E204&lt;11,"Morning",
E204&lt;15,"Afternoon",
TRUE,"Evening"
)</f>
        <v>Morning</v>
      </c>
      <c r="G204" s="3" t="str">
        <f t="shared" si="23"/>
        <v>Wed</v>
      </c>
      <c r="H204" s="1" t="s">
        <v>157</v>
      </c>
      <c r="I204" s="1" t="s">
        <v>146</v>
      </c>
      <c r="J204" s="1" t="s">
        <v>125</v>
      </c>
      <c r="K204" s="1" t="str">
        <f>_xlfn.XLOOKUP($J204, items_clean!$A:$A, items_clean!$B:$B, "")</f>
        <v>CDR-CCF-LG</v>
      </c>
      <c r="L204" s="1" t="str">
        <f>_xlfn.XLOOKUP($J204, items_clean!$A:$A, items_clean!$C:$C, "")</f>
        <v>Cold Coffee</v>
      </c>
      <c r="M204" s="1" t="str">
        <f>_xlfn.XLOOKUP($J204, items_clean!$A:$A, items_clean!$D:$D, "")</f>
        <v>Cold Drinks</v>
      </c>
      <c r="N204" s="1" t="str">
        <f>_xlfn.XLOOKUP($J204, items_clean!$A:$A, items_clean!$E:$E, "")</f>
        <v>Large</v>
      </c>
      <c r="O204" s="3">
        <v>1</v>
      </c>
      <c r="P204" s="2">
        <f>_xlfn.XLOOKUP($J204, items_clean!$A:$A, items_clean!$F:$F, "")</f>
        <v>3.75</v>
      </c>
      <c r="Q204" s="2">
        <f t="shared" si="24"/>
        <v>3.75</v>
      </c>
      <c r="R204" s="7">
        <f>_xlfn.XLOOKUP(K204, recipe_cost!$A:$A, recipe_cost!$B:$B, "")</f>
        <v>0.33599999999999997</v>
      </c>
      <c r="S204" s="10">
        <f t="shared" si="25"/>
        <v>0.33599999999999997</v>
      </c>
      <c r="T204" s="10">
        <f t="shared" si="26"/>
        <v>3.4140000000000001</v>
      </c>
      <c r="U204" s="9">
        <f t="shared" si="27"/>
        <v>0.91039999999999999</v>
      </c>
    </row>
    <row r="205" spans="1:21" x14ac:dyDescent="0.3">
      <c r="A205" s="1">
        <v>204</v>
      </c>
      <c r="B205" s="1" t="s">
        <v>346</v>
      </c>
      <c r="C205" s="4">
        <v>45336.38958333333</v>
      </c>
      <c r="D205" s="5">
        <f t="shared" si="21"/>
        <v>45336</v>
      </c>
      <c r="E205" s="3">
        <f t="shared" si="22"/>
        <v>9</v>
      </c>
      <c r="F205" s="1" t="str" cm="1">
        <f t="array" ref="F205">_xlfn.IFS(
E205&lt;11,"Morning",
E205&lt;15,"Afternoon",
TRUE,"Evening"
)</f>
        <v>Morning</v>
      </c>
      <c r="G205" s="3" t="str">
        <f t="shared" si="23"/>
        <v>Wed</v>
      </c>
      <c r="H205" s="1" t="s">
        <v>151</v>
      </c>
      <c r="I205" s="1" t="s">
        <v>149</v>
      </c>
      <c r="J205" s="1" t="s">
        <v>138</v>
      </c>
      <c r="K205" s="1" t="str">
        <f>_xlfn.XLOOKUP($J205, items_clean!$A:$A, items_clean!$B:$B, "")</f>
        <v>SNK-SSM</v>
      </c>
      <c r="L205" s="1" t="str">
        <f>_xlfn.XLOOKUP($J205, items_clean!$A:$A, items_clean!$C:$C, "")</f>
        <v>Sandwich Salami&amp;Mozzarella</v>
      </c>
      <c r="M205" s="1" t="str">
        <f>_xlfn.XLOOKUP($J205, items_clean!$A:$A, items_clean!$D:$D, "")</f>
        <v>Snacks</v>
      </c>
      <c r="N205" s="1" t="str">
        <f>_xlfn.XLOOKUP($J205, items_clean!$A:$A, items_clean!$E:$E, "")</f>
        <v>N/A</v>
      </c>
      <c r="O205" s="3">
        <v>1</v>
      </c>
      <c r="P205" s="2">
        <f>_xlfn.XLOOKUP($J205, items_clean!$A:$A, items_clean!$F:$F, "")</f>
        <v>5.5</v>
      </c>
      <c r="Q205" s="2">
        <f t="shared" si="24"/>
        <v>5.5</v>
      </c>
      <c r="R205" s="7">
        <f>_xlfn.XLOOKUP(K205, recipe_cost!$A:$A, recipe_cost!$B:$B, "")</f>
        <v>1.3120000000000001</v>
      </c>
      <c r="S205" s="10">
        <f t="shared" si="25"/>
        <v>1.3120000000000001</v>
      </c>
      <c r="T205" s="10">
        <f t="shared" si="26"/>
        <v>4.1879999999999997</v>
      </c>
      <c r="U205" s="9">
        <f t="shared" si="27"/>
        <v>0.76145454545454538</v>
      </c>
    </row>
    <row r="206" spans="1:21" x14ac:dyDescent="0.3">
      <c r="A206" s="1">
        <v>205</v>
      </c>
      <c r="B206" s="1" t="s">
        <v>347</v>
      </c>
      <c r="C206" s="4">
        <v>45336.394444444442</v>
      </c>
      <c r="D206" s="5">
        <f t="shared" si="21"/>
        <v>45336</v>
      </c>
      <c r="E206" s="3">
        <f t="shared" si="22"/>
        <v>9</v>
      </c>
      <c r="F206" s="1" t="str" cm="1">
        <f t="array" ref="F206">_xlfn.IFS(
E206&lt;11,"Morning",
E206&lt;15,"Afternoon",
TRUE,"Evening"
)</f>
        <v>Morning</v>
      </c>
      <c r="G206" s="3" t="str">
        <f t="shared" si="23"/>
        <v>Wed</v>
      </c>
      <c r="H206" s="1" t="s">
        <v>153</v>
      </c>
      <c r="I206" s="1" t="s">
        <v>146</v>
      </c>
      <c r="J206" s="1" t="s">
        <v>118</v>
      </c>
      <c r="K206" s="1" t="str">
        <f>_xlfn.XLOOKUP($J206, items_clean!$A:$A, items_clean!$B:$B, "")</f>
        <v>HDR-WMO-LG</v>
      </c>
      <c r="L206" s="1" t="str">
        <f>_xlfn.XLOOKUP($J206, items_clean!$A:$A, items_clean!$C:$C, "")</f>
        <v>White Mocha</v>
      </c>
      <c r="M206" s="1" t="str">
        <f>_xlfn.XLOOKUP($J206, items_clean!$A:$A, items_clean!$D:$D, "")</f>
        <v>Hot Drinks</v>
      </c>
      <c r="N206" s="1" t="str">
        <f>_xlfn.XLOOKUP($J206, items_clean!$A:$A, items_clean!$E:$E, "")</f>
        <v>Large</v>
      </c>
      <c r="O206" s="3">
        <v>1</v>
      </c>
      <c r="P206" s="2">
        <f>_xlfn.XLOOKUP($J206, items_clean!$A:$A, items_clean!$F:$F, "")</f>
        <v>4.7</v>
      </c>
      <c r="Q206" s="2">
        <f t="shared" si="24"/>
        <v>4.7</v>
      </c>
      <c r="R206" s="7">
        <f>_xlfn.XLOOKUP(K206, recipe_cost!$A:$A, recipe_cost!$B:$B, "")</f>
        <v>0.56669999999999998</v>
      </c>
      <c r="S206" s="10">
        <f t="shared" si="25"/>
        <v>0.56669999999999998</v>
      </c>
      <c r="T206" s="10">
        <f t="shared" si="26"/>
        <v>4.1333000000000002</v>
      </c>
      <c r="U206" s="9">
        <f t="shared" si="27"/>
        <v>0.87942553191489359</v>
      </c>
    </row>
    <row r="207" spans="1:21" x14ac:dyDescent="0.3">
      <c r="A207" s="1">
        <v>206</v>
      </c>
      <c r="B207" s="1" t="s">
        <v>348</v>
      </c>
      <c r="C207" s="4">
        <v>45336.399305555555</v>
      </c>
      <c r="D207" s="5">
        <f t="shared" si="21"/>
        <v>45336</v>
      </c>
      <c r="E207" s="3">
        <f t="shared" si="22"/>
        <v>9</v>
      </c>
      <c r="F207" s="1" t="str" cm="1">
        <f t="array" ref="F207">_xlfn.IFS(
E207&lt;11,"Morning",
E207&lt;15,"Afternoon",
TRUE,"Evening"
)</f>
        <v>Morning</v>
      </c>
      <c r="G207" s="3" t="str">
        <f t="shared" si="23"/>
        <v>Wed</v>
      </c>
      <c r="H207" s="1" t="s">
        <v>155</v>
      </c>
      <c r="I207" s="1" t="s">
        <v>149</v>
      </c>
      <c r="J207" s="1" t="s">
        <v>113</v>
      </c>
      <c r="K207" s="1" t="str">
        <f>_xlfn.XLOOKUP($J207, items_clean!$A:$A, items_clean!$B:$B, "")</f>
        <v>HDR-MOC-MD</v>
      </c>
      <c r="L207" s="1" t="str">
        <f>_xlfn.XLOOKUP($J207, items_clean!$A:$A, items_clean!$C:$C, "")</f>
        <v>Mocha</v>
      </c>
      <c r="M207" s="1" t="str">
        <f>_xlfn.XLOOKUP($J207, items_clean!$A:$A, items_clean!$D:$D, "")</f>
        <v>Hot Drinks</v>
      </c>
      <c r="N207" s="1" t="str">
        <f>_xlfn.XLOOKUP($J207, items_clean!$A:$A, items_clean!$E:$E, "")</f>
        <v>Medium</v>
      </c>
      <c r="O207" s="3">
        <v>1</v>
      </c>
      <c r="P207" s="2">
        <f>_xlfn.XLOOKUP($J207, items_clean!$A:$A, items_clean!$F:$F, "")</f>
        <v>4</v>
      </c>
      <c r="Q207" s="2">
        <f t="shared" si="24"/>
        <v>4</v>
      </c>
      <c r="R207" s="7">
        <f>_xlfn.XLOOKUP(K207, recipe_cost!$A:$A, recipe_cost!$B:$B, "")</f>
        <v>0.4098</v>
      </c>
      <c r="S207" s="10">
        <f t="shared" si="25"/>
        <v>0.4098</v>
      </c>
      <c r="T207" s="10">
        <f t="shared" si="26"/>
        <v>3.5901999999999998</v>
      </c>
      <c r="U207" s="9">
        <f t="shared" si="27"/>
        <v>0.89754999999999996</v>
      </c>
    </row>
    <row r="208" spans="1:21" x14ac:dyDescent="0.3">
      <c r="A208" s="1">
        <v>207</v>
      </c>
      <c r="B208" s="1" t="s">
        <v>349</v>
      </c>
      <c r="C208" s="4">
        <v>45336.404166666667</v>
      </c>
      <c r="D208" s="5">
        <f t="shared" si="21"/>
        <v>45336</v>
      </c>
      <c r="E208" s="3">
        <f t="shared" si="22"/>
        <v>9</v>
      </c>
      <c r="F208" s="1" t="str" cm="1">
        <f t="array" ref="F208">_xlfn.IFS(
E208&lt;11,"Morning",
E208&lt;15,"Afternoon",
TRUE,"Evening"
)</f>
        <v>Morning</v>
      </c>
      <c r="G208" s="3" t="str">
        <f t="shared" si="23"/>
        <v>Wed</v>
      </c>
      <c r="H208" s="1" t="s">
        <v>159</v>
      </c>
      <c r="I208" s="1" t="s">
        <v>146</v>
      </c>
      <c r="J208" s="1" t="s">
        <v>100</v>
      </c>
      <c r="K208" s="1" t="str">
        <f>_xlfn.XLOOKUP($J208, items_clean!$A:$A, items_clean!$B:$B, "")</f>
        <v>HDR-CAP-LG</v>
      </c>
      <c r="L208" s="1" t="str">
        <f>_xlfn.XLOOKUP($J208, items_clean!$A:$A, items_clean!$C:$C, "")</f>
        <v>Cappuccino</v>
      </c>
      <c r="M208" s="1" t="str">
        <f>_xlfn.XLOOKUP($J208, items_clean!$A:$A, items_clean!$D:$D, "")</f>
        <v>Hot Drinks</v>
      </c>
      <c r="N208" s="1" t="str">
        <f>_xlfn.XLOOKUP($J208, items_clean!$A:$A, items_clean!$E:$E, "")</f>
        <v>Large</v>
      </c>
      <c r="O208" s="3">
        <v>1</v>
      </c>
      <c r="P208" s="2">
        <f>_xlfn.XLOOKUP($J208, items_clean!$A:$A, items_clean!$F:$F, "")</f>
        <v>3.75</v>
      </c>
      <c r="Q208" s="2">
        <f t="shared" si="24"/>
        <v>3.75</v>
      </c>
      <c r="R208" s="7">
        <f>_xlfn.XLOOKUP(K208, recipe_cost!$A:$A, recipe_cost!$B:$B, "")</f>
        <v>0.33599999999999997</v>
      </c>
      <c r="S208" s="10">
        <f t="shared" si="25"/>
        <v>0.33599999999999997</v>
      </c>
      <c r="T208" s="10">
        <f t="shared" si="26"/>
        <v>3.4140000000000001</v>
      </c>
      <c r="U208" s="9">
        <f t="shared" si="27"/>
        <v>0.91039999999999999</v>
      </c>
    </row>
    <row r="209" spans="1:21" x14ac:dyDescent="0.3">
      <c r="A209" s="1">
        <v>208</v>
      </c>
      <c r="B209" s="1" t="s">
        <v>350</v>
      </c>
      <c r="C209" s="4">
        <v>45336.40902777778</v>
      </c>
      <c r="D209" s="5">
        <f t="shared" si="21"/>
        <v>45336</v>
      </c>
      <c r="E209" s="3">
        <f t="shared" si="22"/>
        <v>9</v>
      </c>
      <c r="F209" s="1" t="str" cm="1">
        <f t="array" ref="F209">_xlfn.IFS(
E209&lt;11,"Morning",
E209&lt;15,"Afternoon",
TRUE,"Evening"
)</f>
        <v>Morning</v>
      </c>
      <c r="G209" s="3" t="str">
        <f t="shared" si="23"/>
        <v>Wed</v>
      </c>
      <c r="H209" s="1" t="s">
        <v>161</v>
      </c>
      <c r="I209" s="1" t="s">
        <v>149</v>
      </c>
      <c r="J209" s="1" t="s">
        <v>128</v>
      </c>
      <c r="K209" s="1" t="str">
        <f>_xlfn.XLOOKUP($J209, items_clean!$A:$A, items_clean!$B:$B, "")</f>
        <v>CDR-CMO-LG</v>
      </c>
      <c r="L209" s="1" t="str">
        <f>_xlfn.XLOOKUP($J209, items_clean!$A:$A, items_clean!$C:$C, "")</f>
        <v>Cold Mocha</v>
      </c>
      <c r="M209" s="1" t="str">
        <f>_xlfn.XLOOKUP($J209, items_clean!$A:$A, items_clean!$D:$D, "")</f>
        <v>Cold Drinks</v>
      </c>
      <c r="N209" s="1" t="str">
        <f>_xlfn.XLOOKUP($J209, items_clean!$A:$A, items_clean!$E:$E, "")</f>
        <v>Large</v>
      </c>
      <c r="O209" s="3">
        <v>1</v>
      </c>
      <c r="P209" s="2">
        <f>_xlfn.XLOOKUP($J209, items_clean!$A:$A, items_clean!$F:$F, "")</f>
        <v>4.5999999999999996</v>
      </c>
      <c r="Q209" s="2">
        <f t="shared" si="24"/>
        <v>4.5999999999999996</v>
      </c>
      <c r="R209" s="7">
        <f>_xlfn.XLOOKUP(K209, recipe_cost!$A:$A, recipe_cost!$B:$B, "")</f>
        <v>0.56669999999999998</v>
      </c>
      <c r="S209" s="10">
        <f t="shared" si="25"/>
        <v>0.56669999999999998</v>
      </c>
      <c r="T209" s="10">
        <f t="shared" si="26"/>
        <v>4.0332999999999997</v>
      </c>
      <c r="U209" s="9">
        <f t="shared" si="27"/>
        <v>0.87680434782608696</v>
      </c>
    </row>
    <row r="210" spans="1:21" x14ac:dyDescent="0.3">
      <c r="A210" s="1">
        <v>209</v>
      </c>
      <c r="B210" s="1" t="s">
        <v>351</v>
      </c>
      <c r="C210" s="4">
        <v>45336.414583333331</v>
      </c>
      <c r="D210" s="5">
        <f t="shared" si="21"/>
        <v>45336</v>
      </c>
      <c r="E210" s="3">
        <f t="shared" si="22"/>
        <v>9</v>
      </c>
      <c r="F210" s="1" t="str" cm="1">
        <f t="array" ref="F210">_xlfn.IFS(
E210&lt;11,"Morning",
E210&lt;15,"Afternoon",
TRUE,"Evening"
)</f>
        <v>Morning</v>
      </c>
      <c r="G210" s="3" t="str">
        <f t="shared" si="23"/>
        <v>Wed</v>
      </c>
      <c r="H210" s="1" t="s">
        <v>163</v>
      </c>
      <c r="I210" s="1" t="s">
        <v>146</v>
      </c>
      <c r="J210" s="1" t="s">
        <v>132</v>
      </c>
      <c r="K210" s="1" t="str">
        <f>_xlfn.XLOOKUP($J210, items_clean!$A:$A, items_clean!$B:$B, "")</f>
        <v>CDR-LMN-MD</v>
      </c>
      <c r="L210" s="1" t="str">
        <f>_xlfn.XLOOKUP($J210, items_clean!$A:$A, items_clean!$C:$C, "")</f>
        <v>Lemonade</v>
      </c>
      <c r="M210" s="1" t="str">
        <f>_xlfn.XLOOKUP($J210, items_clean!$A:$A, items_clean!$D:$D, "")</f>
        <v>Cold Drinks</v>
      </c>
      <c r="N210" s="1" t="str">
        <f>_xlfn.XLOOKUP($J210, items_clean!$A:$A, items_clean!$E:$E, "")</f>
        <v>Medium</v>
      </c>
      <c r="O210" s="3">
        <v>1</v>
      </c>
      <c r="P210" s="2">
        <f>_xlfn.XLOOKUP($J210, items_clean!$A:$A, items_clean!$F:$F, "")</f>
        <v>3.35</v>
      </c>
      <c r="Q210" s="2">
        <f t="shared" si="24"/>
        <v>3.35</v>
      </c>
      <c r="R210" s="7">
        <f>_xlfn.XLOOKUP(K210, recipe_cost!$A:$A, recipe_cost!$B:$B, "")</f>
        <v>0.34499999999999997</v>
      </c>
      <c r="S210" s="10">
        <f t="shared" si="25"/>
        <v>0.34499999999999997</v>
      </c>
      <c r="T210" s="10">
        <f t="shared" si="26"/>
        <v>3.0049999999999999</v>
      </c>
      <c r="U210" s="9">
        <f t="shared" si="27"/>
        <v>0.89701492537313432</v>
      </c>
    </row>
    <row r="211" spans="1:21" x14ac:dyDescent="0.3">
      <c r="A211" s="1">
        <v>210</v>
      </c>
      <c r="B211" s="1" t="s">
        <v>352</v>
      </c>
      <c r="C211" s="4">
        <v>45336.419444444444</v>
      </c>
      <c r="D211" s="5">
        <f t="shared" si="21"/>
        <v>45336</v>
      </c>
      <c r="E211" s="3">
        <f t="shared" si="22"/>
        <v>10</v>
      </c>
      <c r="F211" s="1" t="str" cm="1">
        <f t="array" ref="F211">_xlfn.IFS(
E211&lt;11,"Morning",
E211&lt;15,"Afternoon",
TRUE,"Evening"
)</f>
        <v>Morning</v>
      </c>
      <c r="G211" s="3" t="str">
        <f t="shared" si="23"/>
        <v>Wed</v>
      </c>
      <c r="H211" s="1" t="s">
        <v>167</v>
      </c>
      <c r="I211" s="1" t="s">
        <v>149</v>
      </c>
      <c r="J211" s="1" t="s">
        <v>122</v>
      </c>
      <c r="K211" s="1" t="str">
        <f>_xlfn.XLOOKUP($J211, items_clean!$A:$A, items_clean!$B:$B, "")</f>
        <v>CDR-CCF-MD</v>
      </c>
      <c r="L211" s="1" t="str">
        <f>_xlfn.XLOOKUP($J211, items_clean!$A:$A, items_clean!$C:$C, "")</f>
        <v>Cold Coffee</v>
      </c>
      <c r="M211" s="1" t="str">
        <f>_xlfn.XLOOKUP($J211, items_clean!$A:$A, items_clean!$D:$D, "")</f>
        <v>Cold Drinks</v>
      </c>
      <c r="N211" s="1" t="str">
        <f>_xlfn.XLOOKUP($J211, items_clean!$A:$A, items_clean!$E:$E, "")</f>
        <v>Medium</v>
      </c>
      <c r="O211" s="3">
        <v>1</v>
      </c>
      <c r="P211" s="2">
        <f>_xlfn.XLOOKUP($J211, items_clean!$A:$A, items_clean!$F:$F, "")</f>
        <v>3.45</v>
      </c>
      <c r="Q211" s="2">
        <f t="shared" si="24"/>
        <v>3.45</v>
      </c>
      <c r="R211" s="7">
        <f>_xlfn.XLOOKUP(K211, recipe_cost!$A:$A, recipe_cost!$B:$B, "")</f>
        <v>0.252</v>
      </c>
      <c r="S211" s="10">
        <f t="shared" si="25"/>
        <v>0.252</v>
      </c>
      <c r="T211" s="10">
        <f t="shared" si="26"/>
        <v>3.1980000000000004</v>
      </c>
      <c r="U211" s="9">
        <f t="shared" si="27"/>
        <v>0.92695652173913046</v>
      </c>
    </row>
    <row r="212" spans="1:21" x14ac:dyDescent="0.3">
      <c r="A212" s="1">
        <v>211</v>
      </c>
      <c r="B212" s="1" t="s">
        <v>353</v>
      </c>
      <c r="C212" s="4">
        <v>45336.431250000001</v>
      </c>
      <c r="D212" s="5">
        <f t="shared" si="21"/>
        <v>45336</v>
      </c>
      <c r="E212" s="3">
        <f t="shared" si="22"/>
        <v>10</v>
      </c>
      <c r="F212" s="1" t="str" cm="1">
        <f t="array" ref="F212">_xlfn.IFS(
E212&lt;11,"Morning",
E212&lt;15,"Afternoon",
TRUE,"Evening"
)</f>
        <v>Morning</v>
      </c>
      <c r="G212" s="3" t="str">
        <f t="shared" si="23"/>
        <v>Wed</v>
      </c>
      <c r="H212" s="1" t="s">
        <v>249</v>
      </c>
      <c r="I212" s="1" t="s">
        <v>146</v>
      </c>
      <c r="J212" s="1" t="s">
        <v>110</v>
      </c>
      <c r="K212" s="1" t="str">
        <f>_xlfn.XLOOKUP($J212, items_clean!$A:$A, items_clean!$B:$B, "")</f>
        <v>HDR-CRM-LG</v>
      </c>
      <c r="L212" s="1" t="str">
        <f>_xlfn.XLOOKUP($J212, items_clean!$A:$A, items_clean!$C:$C, "")</f>
        <v>Caramel Macchiato</v>
      </c>
      <c r="M212" s="1" t="str">
        <f>_xlfn.XLOOKUP($J212, items_clean!$A:$A, items_clean!$D:$D, "")</f>
        <v>Hot Drinks</v>
      </c>
      <c r="N212" s="1" t="str">
        <f>_xlfn.XLOOKUP($J212, items_clean!$A:$A, items_clean!$E:$E, "")</f>
        <v>Large</v>
      </c>
      <c r="O212" s="3">
        <v>1</v>
      </c>
      <c r="P212" s="2">
        <f>_xlfn.XLOOKUP($J212, items_clean!$A:$A, items_clean!$F:$F, "")</f>
        <v>4.5999999999999996</v>
      </c>
      <c r="Q212" s="2">
        <f t="shared" si="24"/>
        <v>4.5999999999999996</v>
      </c>
      <c r="R212" s="7">
        <f>_xlfn.XLOOKUP(K212, recipe_cost!$A:$A, recipe_cost!$B:$B, "")</f>
        <v>0.56669999999999998</v>
      </c>
      <c r="S212" s="10">
        <f t="shared" si="25"/>
        <v>0.56669999999999998</v>
      </c>
      <c r="T212" s="10">
        <f t="shared" si="26"/>
        <v>4.0332999999999997</v>
      </c>
      <c r="U212" s="9">
        <f t="shared" si="27"/>
        <v>0.87680434782608696</v>
      </c>
    </row>
    <row r="213" spans="1:21" x14ac:dyDescent="0.3">
      <c r="A213" s="1">
        <v>212</v>
      </c>
      <c r="B213" s="1" t="s">
        <v>355</v>
      </c>
      <c r="C213" s="4">
        <v>45336.454861111109</v>
      </c>
      <c r="D213" s="5">
        <f t="shared" si="21"/>
        <v>45336</v>
      </c>
      <c r="E213" s="3">
        <f t="shared" si="22"/>
        <v>10</v>
      </c>
      <c r="F213" s="1" t="str" cm="1">
        <f t="array" ref="F213">_xlfn.IFS(
E213&lt;11,"Morning",
E213&lt;15,"Afternoon",
TRUE,"Evening"
)</f>
        <v>Morning</v>
      </c>
      <c r="G213" s="3" t="str">
        <f t="shared" si="23"/>
        <v>Wed</v>
      </c>
      <c r="H213" s="1" t="s">
        <v>145</v>
      </c>
      <c r="I213" s="1" t="s">
        <v>146</v>
      </c>
      <c r="J213" s="1" t="s">
        <v>96</v>
      </c>
      <c r="K213" s="1" t="str">
        <f>_xlfn.XLOOKUP($J213, items_clean!$A:$A, items_clean!$B:$B, "")</f>
        <v>HDR-CAP-MD</v>
      </c>
      <c r="L213" s="1" t="str">
        <f>_xlfn.XLOOKUP($J213, items_clean!$A:$A, items_clean!$C:$C, "")</f>
        <v>Cappuccino</v>
      </c>
      <c r="M213" s="1" t="str">
        <f>_xlfn.XLOOKUP($J213, items_clean!$A:$A, items_clean!$D:$D, "")</f>
        <v>Hot Drinks</v>
      </c>
      <c r="N213" s="1" t="str">
        <f>_xlfn.XLOOKUP($J213, items_clean!$A:$A, items_clean!$E:$E, "")</f>
        <v>Medium</v>
      </c>
      <c r="O213" s="3">
        <v>1</v>
      </c>
      <c r="P213" s="2">
        <f>_xlfn.XLOOKUP($J213, items_clean!$A:$A, items_clean!$F:$F, "")</f>
        <v>3.45</v>
      </c>
      <c r="Q213" s="2">
        <f t="shared" si="24"/>
        <v>3.45</v>
      </c>
      <c r="R213" s="7">
        <f>_xlfn.XLOOKUP(K213, recipe_cost!$A:$A, recipe_cost!$B:$B, "")</f>
        <v>0.252</v>
      </c>
      <c r="S213" s="10">
        <f t="shared" si="25"/>
        <v>0.252</v>
      </c>
      <c r="T213" s="10">
        <f t="shared" si="26"/>
        <v>3.1980000000000004</v>
      </c>
      <c r="U213" s="9">
        <f t="shared" si="27"/>
        <v>0.92695652173913046</v>
      </c>
    </row>
    <row r="214" spans="1:21" x14ac:dyDescent="0.3">
      <c r="A214" s="1">
        <v>213</v>
      </c>
      <c r="B214" s="1" t="s">
        <v>356</v>
      </c>
      <c r="C214" s="4">
        <v>45336.466666666667</v>
      </c>
      <c r="D214" s="5">
        <f t="shared" si="21"/>
        <v>45336</v>
      </c>
      <c r="E214" s="3">
        <f t="shared" si="22"/>
        <v>11</v>
      </c>
      <c r="F214" s="1" t="str" cm="1">
        <f t="array" ref="F214">_xlfn.IFS(
E214&lt;11,"Morning",
E214&lt;15,"Afternoon",
TRUE,"Evening"
)</f>
        <v>Afternoon</v>
      </c>
      <c r="G214" s="3" t="str">
        <f t="shared" si="23"/>
        <v>Wed</v>
      </c>
      <c r="H214" s="1" t="s">
        <v>148</v>
      </c>
      <c r="I214" s="1" t="s">
        <v>149</v>
      </c>
      <c r="J214" s="1" t="s">
        <v>138</v>
      </c>
      <c r="K214" s="1" t="str">
        <f>_xlfn.XLOOKUP($J214, items_clean!$A:$A, items_clean!$B:$B, "")</f>
        <v>SNK-SSM</v>
      </c>
      <c r="L214" s="1" t="str">
        <f>_xlfn.XLOOKUP($J214, items_clean!$A:$A, items_clean!$C:$C, "")</f>
        <v>Sandwich Salami&amp;Mozzarella</v>
      </c>
      <c r="M214" s="1" t="str">
        <f>_xlfn.XLOOKUP($J214, items_clean!$A:$A, items_clean!$D:$D, "")</f>
        <v>Snacks</v>
      </c>
      <c r="N214" s="1" t="str">
        <f>_xlfn.XLOOKUP($J214, items_clean!$A:$A, items_clean!$E:$E, "")</f>
        <v>N/A</v>
      </c>
      <c r="O214" s="3">
        <v>1</v>
      </c>
      <c r="P214" s="2">
        <f>_xlfn.XLOOKUP($J214, items_clean!$A:$A, items_clean!$F:$F, "")</f>
        <v>5.5</v>
      </c>
      <c r="Q214" s="2">
        <f t="shared" si="24"/>
        <v>5.5</v>
      </c>
      <c r="R214" s="7">
        <f>_xlfn.XLOOKUP(K214, recipe_cost!$A:$A, recipe_cost!$B:$B, "")</f>
        <v>1.3120000000000001</v>
      </c>
      <c r="S214" s="10">
        <f t="shared" si="25"/>
        <v>1.3120000000000001</v>
      </c>
      <c r="T214" s="10">
        <f t="shared" si="26"/>
        <v>4.1879999999999997</v>
      </c>
      <c r="U214" s="9">
        <f t="shared" si="27"/>
        <v>0.76145454545454538</v>
      </c>
    </row>
    <row r="215" spans="1:21" x14ac:dyDescent="0.3">
      <c r="A215" s="1">
        <v>214</v>
      </c>
      <c r="B215" s="1" t="s">
        <v>357</v>
      </c>
      <c r="C215" s="4">
        <v>45336.478472222225</v>
      </c>
      <c r="D215" s="5">
        <f t="shared" si="21"/>
        <v>45336</v>
      </c>
      <c r="E215" s="3">
        <f t="shared" si="22"/>
        <v>11</v>
      </c>
      <c r="F215" s="1" t="str" cm="1">
        <f t="array" ref="F215">_xlfn.IFS(
E215&lt;11,"Morning",
E215&lt;15,"Afternoon",
TRUE,"Evening"
)</f>
        <v>Afternoon</v>
      </c>
      <c r="G215" s="3" t="str">
        <f t="shared" si="23"/>
        <v>Wed</v>
      </c>
      <c r="H215" s="1" t="s">
        <v>253</v>
      </c>
      <c r="I215" s="1" t="s">
        <v>146</v>
      </c>
      <c r="J215" s="1" t="s">
        <v>128</v>
      </c>
      <c r="K215" s="1" t="str">
        <f>_xlfn.XLOOKUP($J215, items_clean!$A:$A, items_clean!$B:$B, "")</f>
        <v>CDR-CMO-LG</v>
      </c>
      <c r="L215" s="1" t="str">
        <f>_xlfn.XLOOKUP($J215, items_clean!$A:$A, items_clean!$C:$C, "")</f>
        <v>Cold Mocha</v>
      </c>
      <c r="M215" s="1" t="str">
        <f>_xlfn.XLOOKUP($J215, items_clean!$A:$A, items_clean!$D:$D, "")</f>
        <v>Cold Drinks</v>
      </c>
      <c r="N215" s="1" t="str">
        <f>_xlfn.XLOOKUP($J215, items_clean!$A:$A, items_clean!$E:$E, "")</f>
        <v>Large</v>
      </c>
      <c r="O215" s="3">
        <v>1</v>
      </c>
      <c r="P215" s="2">
        <f>_xlfn.XLOOKUP($J215, items_clean!$A:$A, items_clean!$F:$F, "")</f>
        <v>4.5999999999999996</v>
      </c>
      <c r="Q215" s="2">
        <f t="shared" si="24"/>
        <v>4.5999999999999996</v>
      </c>
      <c r="R215" s="7">
        <f>_xlfn.XLOOKUP(K215, recipe_cost!$A:$A, recipe_cost!$B:$B, "")</f>
        <v>0.56669999999999998</v>
      </c>
      <c r="S215" s="10">
        <f t="shared" si="25"/>
        <v>0.56669999999999998</v>
      </c>
      <c r="T215" s="10">
        <f t="shared" si="26"/>
        <v>4.0332999999999997</v>
      </c>
      <c r="U215" s="9">
        <f t="shared" si="27"/>
        <v>0.87680434782608696</v>
      </c>
    </row>
    <row r="216" spans="1:21" x14ac:dyDescent="0.3">
      <c r="A216" s="1">
        <v>215</v>
      </c>
      <c r="B216" s="1" t="s">
        <v>357</v>
      </c>
      <c r="C216" s="4">
        <v>45336.478472222225</v>
      </c>
      <c r="D216" s="5">
        <f t="shared" si="21"/>
        <v>45336</v>
      </c>
      <c r="E216" s="3">
        <f t="shared" si="22"/>
        <v>11</v>
      </c>
      <c r="F216" s="1" t="str" cm="1">
        <f t="array" ref="F216">_xlfn.IFS(
E216&lt;11,"Morning",
E216&lt;15,"Afternoon",
TRUE,"Evening"
)</f>
        <v>Afternoon</v>
      </c>
      <c r="G216" s="3" t="str">
        <f t="shared" si="23"/>
        <v>Wed</v>
      </c>
      <c r="H216" s="1" t="s">
        <v>253</v>
      </c>
      <c r="I216" s="1" t="s">
        <v>778</v>
      </c>
      <c r="J216" s="1" t="s">
        <v>134</v>
      </c>
      <c r="K216" s="1" t="str">
        <f>_xlfn.XLOOKUP($J216, items_clean!$A:$A, items_clean!$B:$B, "")</f>
        <v>CDR-LMN-LG</v>
      </c>
      <c r="L216" s="1" t="str">
        <f>_xlfn.XLOOKUP($J216, items_clean!$A:$A, items_clean!$C:$C, "")</f>
        <v>Lemonade</v>
      </c>
      <c r="M216" s="1" t="str">
        <f>_xlfn.XLOOKUP($J216, items_clean!$A:$A, items_clean!$D:$D, "")</f>
        <v>Cold Drinks</v>
      </c>
      <c r="N216" s="1" t="str">
        <f>_xlfn.XLOOKUP($J216, items_clean!$A:$A, items_clean!$E:$E, "")</f>
        <v>Large</v>
      </c>
      <c r="O216" s="3">
        <v>1</v>
      </c>
      <c r="P216" s="2">
        <f>_xlfn.XLOOKUP($J216, items_clean!$A:$A, items_clean!$F:$F, "")</f>
        <v>3.75</v>
      </c>
      <c r="Q216" s="2">
        <f t="shared" si="24"/>
        <v>3.75</v>
      </c>
      <c r="R216" s="7">
        <f>_xlfn.XLOOKUP(K216, recipe_cost!$A:$A, recipe_cost!$B:$B, "")</f>
        <v>0.36</v>
      </c>
      <c r="S216" s="10">
        <f t="shared" si="25"/>
        <v>0.36</v>
      </c>
      <c r="T216" s="10">
        <f t="shared" si="26"/>
        <v>3.39</v>
      </c>
      <c r="U216" s="9">
        <f t="shared" si="27"/>
        <v>0.90400000000000003</v>
      </c>
    </row>
    <row r="217" spans="1:21" x14ac:dyDescent="0.3">
      <c r="A217" s="1">
        <v>216</v>
      </c>
      <c r="B217" s="1" t="s">
        <v>358</v>
      </c>
      <c r="C217" s="4">
        <v>45336.490277777775</v>
      </c>
      <c r="D217" s="5">
        <f t="shared" si="21"/>
        <v>45336</v>
      </c>
      <c r="E217" s="3">
        <f t="shared" si="22"/>
        <v>11</v>
      </c>
      <c r="F217" s="1" t="str" cm="1">
        <f t="array" ref="F217">_xlfn.IFS(
E217&lt;11,"Morning",
E217&lt;15,"Afternoon",
TRUE,"Evening"
)</f>
        <v>Afternoon</v>
      </c>
      <c r="G217" s="3" t="str">
        <f t="shared" si="23"/>
        <v>Wed</v>
      </c>
      <c r="H217" s="1" t="s">
        <v>157</v>
      </c>
      <c r="I217" s="1" t="s">
        <v>149</v>
      </c>
      <c r="J217" s="1" t="s">
        <v>118</v>
      </c>
      <c r="K217" s="1" t="str">
        <f>_xlfn.XLOOKUP($J217, items_clean!$A:$A, items_clean!$B:$B, "")</f>
        <v>HDR-WMO-LG</v>
      </c>
      <c r="L217" s="1" t="str">
        <f>_xlfn.XLOOKUP($J217, items_clean!$A:$A, items_clean!$C:$C, "")</f>
        <v>White Mocha</v>
      </c>
      <c r="M217" s="1" t="str">
        <f>_xlfn.XLOOKUP($J217, items_clean!$A:$A, items_clean!$D:$D, "")</f>
        <v>Hot Drinks</v>
      </c>
      <c r="N217" s="1" t="str">
        <f>_xlfn.XLOOKUP($J217, items_clean!$A:$A, items_clean!$E:$E, "")</f>
        <v>Large</v>
      </c>
      <c r="O217" s="3">
        <v>1</v>
      </c>
      <c r="P217" s="2">
        <f>_xlfn.XLOOKUP($J217, items_clean!$A:$A, items_clean!$F:$F, "")</f>
        <v>4.7</v>
      </c>
      <c r="Q217" s="2">
        <f t="shared" si="24"/>
        <v>4.7</v>
      </c>
      <c r="R217" s="7">
        <f>_xlfn.XLOOKUP(K217, recipe_cost!$A:$A, recipe_cost!$B:$B, "")</f>
        <v>0.56669999999999998</v>
      </c>
      <c r="S217" s="10">
        <f t="shared" si="25"/>
        <v>0.56669999999999998</v>
      </c>
      <c r="T217" s="10">
        <f t="shared" si="26"/>
        <v>4.1333000000000002</v>
      </c>
      <c r="U217" s="9">
        <f t="shared" si="27"/>
        <v>0.87942553191489359</v>
      </c>
    </row>
    <row r="218" spans="1:21" x14ac:dyDescent="0.3">
      <c r="A218" s="1">
        <v>217</v>
      </c>
      <c r="B218" s="1" t="s">
        <v>359</v>
      </c>
      <c r="C218" s="4">
        <v>45336.502083333333</v>
      </c>
      <c r="D218" s="5">
        <f t="shared" si="21"/>
        <v>45336</v>
      </c>
      <c r="E218" s="3">
        <f t="shared" si="22"/>
        <v>12</v>
      </c>
      <c r="F218" s="1" t="str" cm="1">
        <f t="array" ref="F218">_xlfn.IFS(
E218&lt;11,"Morning",
E218&lt;15,"Afternoon",
TRUE,"Evening"
)</f>
        <v>Afternoon</v>
      </c>
      <c r="G218" s="3" t="str">
        <f t="shared" si="23"/>
        <v>Wed</v>
      </c>
      <c r="H218" s="1" t="s">
        <v>151</v>
      </c>
      <c r="I218" s="1" t="s">
        <v>146</v>
      </c>
      <c r="J218" s="1" t="s">
        <v>102</v>
      </c>
      <c r="K218" s="1" t="str">
        <f>_xlfn.XLOOKUP($J218, items_clean!$A:$A, items_clean!$B:$B, "")</f>
        <v>HDR-LAT-MD</v>
      </c>
      <c r="L218" s="1" t="str">
        <f>_xlfn.XLOOKUP($J218, items_clean!$A:$A, items_clean!$C:$C, "")</f>
        <v>Latte</v>
      </c>
      <c r="M218" s="1" t="str">
        <f>_xlfn.XLOOKUP($J218, items_clean!$A:$A, items_clean!$D:$D, "")</f>
        <v>Hot Drinks</v>
      </c>
      <c r="N218" s="1" t="str">
        <f>_xlfn.XLOOKUP($J218, items_clean!$A:$A, items_clean!$E:$E, "")</f>
        <v>Medium</v>
      </c>
      <c r="O218" s="3">
        <v>1</v>
      </c>
      <c r="P218" s="2">
        <f>_xlfn.XLOOKUP($J218, items_clean!$A:$A, items_clean!$F:$F, "")</f>
        <v>3.45</v>
      </c>
      <c r="Q218" s="2">
        <f t="shared" si="24"/>
        <v>3.45</v>
      </c>
      <c r="R218" s="7">
        <f>_xlfn.XLOOKUP(K218, recipe_cost!$A:$A, recipe_cost!$B:$B, "")</f>
        <v>0.252</v>
      </c>
      <c r="S218" s="10">
        <f t="shared" si="25"/>
        <v>0.252</v>
      </c>
      <c r="T218" s="10">
        <f t="shared" si="26"/>
        <v>3.1980000000000004</v>
      </c>
      <c r="U218" s="9">
        <f t="shared" si="27"/>
        <v>0.92695652173913046</v>
      </c>
    </row>
    <row r="219" spans="1:21" x14ac:dyDescent="0.3">
      <c r="A219" s="1">
        <v>218</v>
      </c>
      <c r="B219" s="1" t="s">
        <v>360</v>
      </c>
      <c r="C219" s="4">
        <v>45336.506944444445</v>
      </c>
      <c r="D219" s="5">
        <f t="shared" si="21"/>
        <v>45336</v>
      </c>
      <c r="E219" s="3">
        <f t="shared" si="22"/>
        <v>12</v>
      </c>
      <c r="F219" s="1" t="str" cm="1">
        <f t="array" ref="F219">_xlfn.IFS(
E219&lt;11,"Morning",
E219&lt;15,"Afternoon",
TRUE,"Evening"
)</f>
        <v>Afternoon</v>
      </c>
      <c r="G219" s="3" t="str">
        <f t="shared" si="23"/>
        <v>Wed</v>
      </c>
      <c r="H219" s="1" t="s">
        <v>153</v>
      </c>
      <c r="I219" s="1" t="s">
        <v>149</v>
      </c>
      <c r="J219" s="1" t="s">
        <v>125</v>
      </c>
      <c r="K219" s="1" t="str">
        <f>_xlfn.XLOOKUP($J219, items_clean!$A:$A, items_clean!$B:$B, "")</f>
        <v>CDR-CCF-LG</v>
      </c>
      <c r="L219" s="1" t="str">
        <f>_xlfn.XLOOKUP($J219, items_clean!$A:$A, items_clean!$C:$C, "")</f>
        <v>Cold Coffee</v>
      </c>
      <c r="M219" s="1" t="str">
        <f>_xlfn.XLOOKUP($J219, items_clean!$A:$A, items_clean!$D:$D, "")</f>
        <v>Cold Drinks</v>
      </c>
      <c r="N219" s="1" t="str">
        <f>_xlfn.XLOOKUP($J219, items_clean!$A:$A, items_clean!$E:$E, "")</f>
        <v>Large</v>
      </c>
      <c r="O219" s="3">
        <v>1</v>
      </c>
      <c r="P219" s="2">
        <f>_xlfn.XLOOKUP($J219, items_clean!$A:$A, items_clean!$F:$F, "")</f>
        <v>3.75</v>
      </c>
      <c r="Q219" s="2">
        <f t="shared" si="24"/>
        <v>3.75</v>
      </c>
      <c r="R219" s="7">
        <f>_xlfn.XLOOKUP(K219, recipe_cost!$A:$A, recipe_cost!$B:$B, "")</f>
        <v>0.33599999999999997</v>
      </c>
      <c r="S219" s="10">
        <f t="shared" si="25"/>
        <v>0.33599999999999997</v>
      </c>
      <c r="T219" s="10">
        <f t="shared" si="26"/>
        <v>3.4140000000000001</v>
      </c>
      <c r="U219" s="9">
        <f t="shared" si="27"/>
        <v>0.91039999999999999</v>
      </c>
    </row>
    <row r="220" spans="1:21" x14ac:dyDescent="0.3">
      <c r="A220" s="1">
        <v>219</v>
      </c>
      <c r="B220" s="1" t="s">
        <v>361</v>
      </c>
      <c r="C220" s="4">
        <v>45336.511805555558</v>
      </c>
      <c r="D220" s="5">
        <f t="shared" si="21"/>
        <v>45336</v>
      </c>
      <c r="E220" s="3">
        <f t="shared" si="22"/>
        <v>12</v>
      </c>
      <c r="F220" s="1" t="str" cm="1">
        <f t="array" ref="F220">_xlfn.IFS(
E220&lt;11,"Morning",
E220&lt;15,"Afternoon",
TRUE,"Evening"
)</f>
        <v>Afternoon</v>
      </c>
      <c r="G220" s="3" t="str">
        <f t="shared" si="23"/>
        <v>Wed</v>
      </c>
      <c r="H220" s="1" t="s">
        <v>155</v>
      </c>
      <c r="I220" s="1" t="s">
        <v>146</v>
      </c>
      <c r="J220" s="1" t="s">
        <v>113</v>
      </c>
      <c r="K220" s="1" t="str">
        <f>_xlfn.XLOOKUP($J220, items_clean!$A:$A, items_clean!$B:$B, "")</f>
        <v>HDR-MOC-MD</v>
      </c>
      <c r="L220" s="1" t="str">
        <f>_xlfn.XLOOKUP($J220, items_clean!$A:$A, items_clean!$C:$C, "")</f>
        <v>Mocha</v>
      </c>
      <c r="M220" s="1" t="str">
        <f>_xlfn.XLOOKUP($J220, items_clean!$A:$A, items_clean!$D:$D, "")</f>
        <v>Hot Drinks</v>
      </c>
      <c r="N220" s="1" t="str">
        <f>_xlfn.XLOOKUP($J220, items_clean!$A:$A, items_clean!$E:$E, "")</f>
        <v>Medium</v>
      </c>
      <c r="O220" s="3">
        <v>1</v>
      </c>
      <c r="P220" s="2">
        <f>_xlfn.XLOOKUP($J220, items_clean!$A:$A, items_clean!$F:$F, "")</f>
        <v>4</v>
      </c>
      <c r="Q220" s="2">
        <f t="shared" si="24"/>
        <v>4</v>
      </c>
      <c r="R220" s="7">
        <f>_xlfn.XLOOKUP(K220, recipe_cost!$A:$A, recipe_cost!$B:$B, "")</f>
        <v>0.4098</v>
      </c>
      <c r="S220" s="10">
        <f t="shared" si="25"/>
        <v>0.4098</v>
      </c>
      <c r="T220" s="10">
        <f t="shared" si="26"/>
        <v>3.5901999999999998</v>
      </c>
      <c r="U220" s="9">
        <f t="shared" si="27"/>
        <v>0.89754999999999996</v>
      </c>
    </row>
    <row r="221" spans="1:21" x14ac:dyDescent="0.3">
      <c r="A221" s="1">
        <v>220</v>
      </c>
      <c r="B221" s="1" t="s">
        <v>363</v>
      </c>
      <c r="C221" s="4">
        <v>45336.521527777775</v>
      </c>
      <c r="D221" s="5">
        <f t="shared" si="21"/>
        <v>45336</v>
      </c>
      <c r="E221" s="3">
        <f t="shared" si="22"/>
        <v>12</v>
      </c>
      <c r="F221" s="1" t="str" cm="1">
        <f t="array" ref="F221">_xlfn.IFS(
E221&lt;11,"Morning",
E221&lt;15,"Afternoon",
TRUE,"Evening"
)</f>
        <v>Afternoon</v>
      </c>
      <c r="G221" s="3" t="str">
        <f t="shared" si="23"/>
        <v>Wed</v>
      </c>
      <c r="H221" s="1" t="s">
        <v>161</v>
      </c>
      <c r="I221" s="1" t="s">
        <v>146</v>
      </c>
      <c r="J221" s="1" t="s">
        <v>105</v>
      </c>
      <c r="K221" s="1" t="str">
        <f>_xlfn.XLOOKUP($J221, items_clean!$A:$A, items_clean!$B:$B, "")</f>
        <v>HDR-FLT</v>
      </c>
      <c r="L221" s="1" t="str">
        <f>_xlfn.XLOOKUP($J221, items_clean!$A:$A, items_clean!$C:$C, "")</f>
        <v>Flat White</v>
      </c>
      <c r="M221" s="1" t="str">
        <f>_xlfn.XLOOKUP($J221, items_clean!$A:$A, items_clean!$D:$D, "")</f>
        <v>Hot Drinks</v>
      </c>
      <c r="N221" s="1" t="str">
        <f>_xlfn.XLOOKUP($J221, items_clean!$A:$A, items_clean!$E:$E, "")</f>
        <v>N/A</v>
      </c>
      <c r="O221" s="3">
        <v>1</v>
      </c>
      <c r="P221" s="2">
        <f>_xlfn.XLOOKUP($J221, items_clean!$A:$A, items_clean!$F:$F, "")</f>
        <v>3.15</v>
      </c>
      <c r="Q221" s="2">
        <f t="shared" si="24"/>
        <v>3.15</v>
      </c>
      <c r="R221" s="7">
        <f>_xlfn.XLOOKUP(K221, recipe_cost!$A:$A, recipe_cost!$B:$B, "")</f>
        <v>0.28799999999999998</v>
      </c>
      <c r="S221" s="10">
        <f t="shared" si="25"/>
        <v>0.28799999999999998</v>
      </c>
      <c r="T221" s="10">
        <f t="shared" si="26"/>
        <v>2.8620000000000001</v>
      </c>
      <c r="U221" s="9">
        <f t="shared" si="27"/>
        <v>0.90857142857142859</v>
      </c>
    </row>
    <row r="222" spans="1:21" x14ac:dyDescent="0.3">
      <c r="A222" s="1">
        <v>221</v>
      </c>
      <c r="B222" s="1" t="s">
        <v>363</v>
      </c>
      <c r="C222" s="4">
        <v>45336.521527777775</v>
      </c>
      <c r="D222" s="5">
        <f t="shared" si="21"/>
        <v>45336</v>
      </c>
      <c r="E222" s="3">
        <f t="shared" si="22"/>
        <v>12</v>
      </c>
      <c r="F222" s="1" t="str" cm="1">
        <f t="array" ref="F222">_xlfn.IFS(
E222&lt;11,"Morning",
E222&lt;15,"Afternoon",
TRUE,"Evening"
)</f>
        <v>Afternoon</v>
      </c>
      <c r="G222" s="3" t="str">
        <f t="shared" si="23"/>
        <v>Wed</v>
      </c>
      <c r="H222" s="1" t="s">
        <v>161</v>
      </c>
      <c r="I222" s="1" t="s">
        <v>778</v>
      </c>
      <c r="J222" s="1" t="s">
        <v>116</v>
      </c>
      <c r="K222" s="1" t="str">
        <f>_xlfn.XLOOKUP($J222, items_clean!$A:$A, items_clean!$B:$B, "")</f>
        <v>HDR-WMO-MD</v>
      </c>
      <c r="L222" s="1" t="str">
        <f>_xlfn.XLOOKUP($J222, items_clean!$A:$A, items_clean!$C:$C, "")</f>
        <v>White Mocha</v>
      </c>
      <c r="M222" s="1" t="str">
        <f>_xlfn.XLOOKUP($J222, items_clean!$A:$A, items_clean!$D:$D, "")</f>
        <v>Hot Drinks</v>
      </c>
      <c r="N222" s="1" t="str">
        <f>_xlfn.XLOOKUP($J222, items_clean!$A:$A, items_clean!$E:$E, "")</f>
        <v>Medium</v>
      </c>
      <c r="O222" s="3">
        <v>1</v>
      </c>
      <c r="P222" s="2">
        <f>_xlfn.XLOOKUP($J222, items_clean!$A:$A, items_clean!$F:$F, "")</f>
        <v>4.5</v>
      </c>
      <c r="Q222" s="2">
        <f t="shared" si="24"/>
        <v>4.5</v>
      </c>
      <c r="R222" s="7">
        <f>_xlfn.XLOOKUP(K222, recipe_cost!$A:$A, recipe_cost!$B:$B, "")</f>
        <v>0.4098</v>
      </c>
      <c r="S222" s="10">
        <f t="shared" si="25"/>
        <v>0.4098</v>
      </c>
      <c r="T222" s="10">
        <f t="shared" si="26"/>
        <v>4.0902000000000003</v>
      </c>
      <c r="U222" s="9">
        <f t="shared" si="27"/>
        <v>0.90893333333333337</v>
      </c>
    </row>
    <row r="223" spans="1:21" x14ac:dyDescent="0.3">
      <c r="A223" s="1">
        <v>222</v>
      </c>
      <c r="B223" s="1" t="s">
        <v>364</v>
      </c>
      <c r="C223" s="4">
        <v>45336.526388888888</v>
      </c>
      <c r="D223" s="5">
        <f t="shared" si="21"/>
        <v>45336</v>
      </c>
      <c r="E223" s="3">
        <f t="shared" si="22"/>
        <v>12</v>
      </c>
      <c r="F223" s="1" t="str" cm="1">
        <f t="array" ref="F223">_xlfn.IFS(
E223&lt;11,"Morning",
E223&lt;15,"Afternoon",
TRUE,"Evening"
)</f>
        <v>Afternoon</v>
      </c>
      <c r="G223" s="3" t="str">
        <f t="shared" si="23"/>
        <v>Wed</v>
      </c>
      <c r="H223" s="1" t="s">
        <v>163</v>
      </c>
      <c r="I223" s="1" t="s">
        <v>149</v>
      </c>
      <c r="J223" s="1" t="s">
        <v>121</v>
      </c>
      <c r="K223" s="1" t="str">
        <f>_xlfn.XLOOKUP($J223, items_clean!$A:$A, items_clean!$B:$B, "")</f>
        <v>HDR-HCH-LG</v>
      </c>
      <c r="L223" s="1" t="str">
        <f>_xlfn.XLOOKUP($J223, items_clean!$A:$A, items_clean!$C:$C, "")</f>
        <v>Hot Chocolate</v>
      </c>
      <c r="M223" s="1" t="str">
        <f>_xlfn.XLOOKUP($J223, items_clean!$A:$A, items_clean!$D:$D, "")</f>
        <v>Hot Drinks</v>
      </c>
      <c r="N223" s="1" t="str">
        <f>_xlfn.XLOOKUP($J223, items_clean!$A:$A, items_clean!$E:$E, "")</f>
        <v>Large</v>
      </c>
      <c r="O223" s="3">
        <v>1</v>
      </c>
      <c r="P223" s="2">
        <f>_xlfn.XLOOKUP($J223, items_clean!$A:$A, items_clean!$F:$F, "")</f>
        <v>4.5999999999999996</v>
      </c>
      <c r="Q223" s="2">
        <f t="shared" si="24"/>
        <v>4.5999999999999996</v>
      </c>
      <c r="R223" s="7">
        <f>_xlfn.XLOOKUP(K223, recipe_cost!$A:$A, recipe_cost!$B:$B, "")</f>
        <v>1.4809999999999999</v>
      </c>
      <c r="S223" s="10">
        <f t="shared" si="25"/>
        <v>1.4809999999999999</v>
      </c>
      <c r="T223" s="10">
        <f t="shared" si="26"/>
        <v>3.1189999999999998</v>
      </c>
      <c r="U223" s="9">
        <f t="shared" si="27"/>
        <v>0.67804347826086953</v>
      </c>
    </row>
    <row r="224" spans="1:21" x14ac:dyDescent="0.3">
      <c r="A224" s="1">
        <v>223</v>
      </c>
      <c r="B224" s="1" t="s">
        <v>365</v>
      </c>
      <c r="C224" s="4">
        <v>45336.53125</v>
      </c>
      <c r="D224" s="5">
        <f t="shared" si="21"/>
        <v>45336</v>
      </c>
      <c r="E224" s="3">
        <f t="shared" si="22"/>
        <v>12</v>
      </c>
      <c r="F224" s="1" t="str" cm="1">
        <f t="array" ref="F224">_xlfn.IFS(
E224&lt;11,"Morning",
E224&lt;15,"Afternoon",
TRUE,"Evening"
)</f>
        <v>Afternoon</v>
      </c>
      <c r="G224" s="3" t="str">
        <f t="shared" si="23"/>
        <v>Wed</v>
      </c>
      <c r="H224" s="1" t="s">
        <v>165</v>
      </c>
      <c r="I224" s="1" t="s">
        <v>146</v>
      </c>
      <c r="J224" s="1" t="s">
        <v>131</v>
      </c>
      <c r="K224" s="1" t="str">
        <f>_xlfn.XLOOKUP($J224, items_clean!$A:$A, items_clean!$B:$B, "")</f>
        <v>CDR-ICT-LG</v>
      </c>
      <c r="L224" s="1" t="str">
        <f>_xlfn.XLOOKUP($J224, items_clean!$A:$A, items_clean!$C:$C, "")</f>
        <v>Iced Tea</v>
      </c>
      <c r="M224" s="1" t="str">
        <f>_xlfn.XLOOKUP($J224, items_clean!$A:$A, items_clean!$D:$D, "")</f>
        <v>Cold Drinks</v>
      </c>
      <c r="N224" s="1" t="str">
        <f>_xlfn.XLOOKUP($J224, items_clean!$A:$A, items_clean!$E:$E, "")</f>
        <v>Large</v>
      </c>
      <c r="O224" s="3">
        <v>1</v>
      </c>
      <c r="P224" s="2">
        <f>_xlfn.XLOOKUP($J224, items_clean!$A:$A, items_clean!$F:$F, "")</f>
        <v>3.55</v>
      </c>
      <c r="Q224" s="2">
        <f t="shared" si="24"/>
        <v>3.55</v>
      </c>
      <c r="R224" s="7">
        <f>_xlfn.XLOOKUP(K224, recipe_cost!$A:$A, recipe_cost!$B:$B, "")</f>
        <v>0.26984999999999998</v>
      </c>
      <c r="S224" s="10">
        <f t="shared" si="25"/>
        <v>0.26984999999999998</v>
      </c>
      <c r="T224" s="10">
        <f t="shared" si="26"/>
        <v>3.2801499999999999</v>
      </c>
      <c r="U224" s="9">
        <f t="shared" si="27"/>
        <v>0.92398591549295772</v>
      </c>
    </row>
    <row r="225" spans="1:21" x14ac:dyDescent="0.3">
      <c r="A225" s="1">
        <v>224</v>
      </c>
      <c r="B225" s="1" t="s">
        <v>366</v>
      </c>
      <c r="C225" s="4">
        <v>45336.536111111112</v>
      </c>
      <c r="D225" s="5">
        <f t="shared" si="21"/>
        <v>45336</v>
      </c>
      <c r="E225" s="3">
        <f t="shared" si="22"/>
        <v>12</v>
      </c>
      <c r="F225" s="1" t="str" cm="1">
        <f t="array" ref="F225">_xlfn.IFS(
E225&lt;11,"Morning",
E225&lt;15,"Afternoon",
TRUE,"Evening"
)</f>
        <v>Afternoon</v>
      </c>
      <c r="G225" s="3" t="str">
        <f t="shared" si="23"/>
        <v>Wed</v>
      </c>
      <c r="H225" s="1" t="s">
        <v>167</v>
      </c>
      <c r="I225" s="1" t="s">
        <v>149</v>
      </c>
      <c r="J225" s="1" t="s">
        <v>108</v>
      </c>
      <c r="K225" s="1" t="str">
        <f>_xlfn.XLOOKUP($J225, items_clean!$A:$A, items_clean!$B:$B, "")</f>
        <v>HDR-CRM-MD</v>
      </c>
      <c r="L225" s="1" t="str">
        <f>_xlfn.XLOOKUP($J225, items_clean!$A:$A, items_clean!$C:$C, "")</f>
        <v>Caramel Macchiato</v>
      </c>
      <c r="M225" s="1" t="str">
        <f>_xlfn.XLOOKUP($J225, items_clean!$A:$A, items_clean!$D:$D, "")</f>
        <v>Hot Drinks</v>
      </c>
      <c r="N225" s="1" t="str">
        <f>_xlfn.XLOOKUP($J225, items_clean!$A:$A, items_clean!$E:$E, "")</f>
        <v>Medium</v>
      </c>
      <c r="O225" s="3">
        <v>1</v>
      </c>
      <c r="P225" s="2">
        <f>_xlfn.XLOOKUP($J225, items_clean!$A:$A, items_clean!$F:$F, "")</f>
        <v>4.2</v>
      </c>
      <c r="Q225" s="2">
        <f t="shared" si="24"/>
        <v>4.2</v>
      </c>
      <c r="R225" s="7">
        <f>_xlfn.XLOOKUP(K225, recipe_cost!$A:$A, recipe_cost!$B:$B, "")</f>
        <v>0.4098</v>
      </c>
      <c r="S225" s="10">
        <f t="shared" si="25"/>
        <v>0.4098</v>
      </c>
      <c r="T225" s="10">
        <f t="shared" si="26"/>
        <v>3.7902</v>
      </c>
      <c r="U225" s="9">
        <f t="shared" si="27"/>
        <v>0.90242857142857136</v>
      </c>
    </row>
    <row r="226" spans="1:21" x14ac:dyDescent="0.3">
      <c r="A226" s="1">
        <v>225</v>
      </c>
      <c r="B226" s="1" t="s">
        <v>367</v>
      </c>
      <c r="C226" s="4">
        <v>45336.541666666664</v>
      </c>
      <c r="D226" s="5">
        <f t="shared" si="21"/>
        <v>45336</v>
      </c>
      <c r="E226" s="3">
        <f t="shared" si="22"/>
        <v>13</v>
      </c>
      <c r="F226" s="1" t="str" cm="1">
        <f t="array" ref="F226">_xlfn.IFS(
E226&lt;11,"Morning",
E226&lt;15,"Afternoon",
TRUE,"Evening"
)</f>
        <v>Afternoon</v>
      </c>
      <c r="G226" s="3" t="str">
        <f t="shared" si="23"/>
        <v>Wed</v>
      </c>
      <c r="H226" s="1" t="s">
        <v>249</v>
      </c>
      <c r="I226" s="1" t="s">
        <v>146</v>
      </c>
      <c r="J226" s="1" t="s">
        <v>134</v>
      </c>
      <c r="K226" s="1" t="str">
        <f>_xlfn.XLOOKUP($J226, items_clean!$A:$A, items_clean!$B:$B, "")</f>
        <v>CDR-LMN-LG</v>
      </c>
      <c r="L226" s="1" t="str">
        <f>_xlfn.XLOOKUP($J226, items_clean!$A:$A, items_clean!$C:$C, "")</f>
        <v>Lemonade</v>
      </c>
      <c r="M226" s="1" t="str">
        <f>_xlfn.XLOOKUP($J226, items_clean!$A:$A, items_clean!$D:$D, "")</f>
        <v>Cold Drinks</v>
      </c>
      <c r="N226" s="1" t="str">
        <f>_xlfn.XLOOKUP($J226, items_clean!$A:$A, items_clean!$E:$E, "")</f>
        <v>Large</v>
      </c>
      <c r="O226" s="3">
        <v>1</v>
      </c>
      <c r="P226" s="2">
        <f>_xlfn.XLOOKUP($J226, items_clean!$A:$A, items_clean!$F:$F, "")</f>
        <v>3.75</v>
      </c>
      <c r="Q226" s="2">
        <f t="shared" si="24"/>
        <v>3.75</v>
      </c>
      <c r="R226" s="7">
        <f>_xlfn.XLOOKUP(K226, recipe_cost!$A:$A, recipe_cost!$B:$B, "")</f>
        <v>0.36</v>
      </c>
      <c r="S226" s="10">
        <f t="shared" si="25"/>
        <v>0.36</v>
      </c>
      <c r="T226" s="10">
        <f t="shared" si="26"/>
        <v>3.39</v>
      </c>
      <c r="U226" s="9">
        <f t="shared" si="27"/>
        <v>0.90400000000000003</v>
      </c>
    </row>
    <row r="227" spans="1:21" x14ac:dyDescent="0.3">
      <c r="A227" s="1">
        <v>226</v>
      </c>
      <c r="B227" s="1" t="s">
        <v>368</v>
      </c>
      <c r="C227" s="4">
        <v>45336.547222222223</v>
      </c>
      <c r="D227" s="5">
        <f t="shared" si="21"/>
        <v>45336</v>
      </c>
      <c r="E227" s="3">
        <f t="shared" si="22"/>
        <v>13</v>
      </c>
      <c r="F227" s="1" t="str" cm="1">
        <f t="array" ref="F227">_xlfn.IFS(
E227&lt;11,"Morning",
E227&lt;15,"Afternoon",
TRUE,"Evening"
)</f>
        <v>Afternoon</v>
      </c>
      <c r="G227" s="3" t="str">
        <f t="shared" si="23"/>
        <v>Wed</v>
      </c>
      <c r="H227" s="1" t="s">
        <v>256</v>
      </c>
      <c r="I227" s="1" t="s">
        <v>149</v>
      </c>
      <c r="J227" s="1" t="s">
        <v>126</v>
      </c>
      <c r="K227" s="1" t="str">
        <f>_xlfn.XLOOKUP($J227, items_clean!$A:$A, items_clean!$B:$B, "")</f>
        <v>CDR-CMO-MD</v>
      </c>
      <c r="L227" s="1" t="str">
        <f>_xlfn.XLOOKUP($J227, items_clean!$A:$A, items_clean!$C:$C, "")</f>
        <v>Cold Mocha</v>
      </c>
      <c r="M227" s="1" t="str">
        <f>_xlfn.XLOOKUP($J227, items_clean!$A:$A, items_clean!$D:$D, "")</f>
        <v>Cold Drinks</v>
      </c>
      <c r="N227" s="1" t="str">
        <f>_xlfn.XLOOKUP($J227, items_clean!$A:$A, items_clean!$E:$E, "")</f>
        <v>Medium</v>
      </c>
      <c r="O227" s="3">
        <v>1</v>
      </c>
      <c r="P227" s="2">
        <f>_xlfn.XLOOKUP($J227, items_clean!$A:$A, items_clean!$F:$F, "")</f>
        <v>4</v>
      </c>
      <c r="Q227" s="2">
        <f t="shared" si="24"/>
        <v>4</v>
      </c>
      <c r="R227" s="7">
        <f>_xlfn.XLOOKUP(K227, recipe_cost!$A:$A, recipe_cost!$B:$B, "")</f>
        <v>0.4098</v>
      </c>
      <c r="S227" s="10">
        <f t="shared" si="25"/>
        <v>0.4098</v>
      </c>
      <c r="T227" s="10">
        <f t="shared" si="26"/>
        <v>3.5901999999999998</v>
      </c>
      <c r="U227" s="9">
        <f t="shared" si="27"/>
        <v>0.89754999999999996</v>
      </c>
    </row>
    <row r="228" spans="1:21" x14ac:dyDescent="0.3">
      <c r="A228" s="1">
        <v>227</v>
      </c>
      <c r="B228" s="1" t="s">
        <v>369</v>
      </c>
      <c r="C228" s="4">
        <v>45336.552083333336</v>
      </c>
      <c r="D228" s="5">
        <f t="shared" si="21"/>
        <v>45336</v>
      </c>
      <c r="E228" s="3">
        <f t="shared" si="22"/>
        <v>13</v>
      </c>
      <c r="F228" s="1" t="str" cm="1">
        <f t="array" ref="F228">_xlfn.IFS(
E228&lt;11,"Morning",
E228&lt;15,"Afternoon",
TRUE,"Evening"
)</f>
        <v>Afternoon</v>
      </c>
      <c r="G228" s="3" t="str">
        <f t="shared" si="23"/>
        <v>Wed</v>
      </c>
      <c r="H228" s="1" t="s">
        <v>145</v>
      </c>
      <c r="I228" s="1" t="s">
        <v>146</v>
      </c>
      <c r="J228" s="1" t="s">
        <v>115</v>
      </c>
      <c r="K228" s="1" t="str">
        <f>_xlfn.XLOOKUP($J228, items_clean!$A:$A, items_clean!$B:$B, "")</f>
        <v>HDR-MOC-LG</v>
      </c>
      <c r="L228" s="1" t="str">
        <f>_xlfn.XLOOKUP($J228, items_clean!$A:$A, items_clean!$C:$C, "")</f>
        <v>Mocha</v>
      </c>
      <c r="M228" s="1" t="str">
        <f>_xlfn.XLOOKUP($J228, items_clean!$A:$A, items_clean!$D:$D, "")</f>
        <v>Hot Drinks</v>
      </c>
      <c r="N228" s="1" t="str">
        <f>_xlfn.XLOOKUP($J228, items_clean!$A:$A, items_clean!$E:$E, "")</f>
        <v>Large</v>
      </c>
      <c r="O228" s="3">
        <v>1</v>
      </c>
      <c r="P228" s="2">
        <f>_xlfn.XLOOKUP($J228, items_clean!$A:$A, items_clean!$F:$F, "")</f>
        <v>4.5999999999999996</v>
      </c>
      <c r="Q228" s="2">
        <f t="shared" si="24"/>
        <v>4.5999999999999996</v>
      </c>
      <c r="R228" s="7">
        <f>_xlfn.XLOOKUP(K228, recipe_cost!$A:$A, recipe_cost!$B:$B, "")</f>
        <v>0.56669999999999998</v>
      </c>
      <c r="S228" s="10">
        <f t="shared" si="25"/>
        <v>0.56669999999999998</v>
      </c>
      <c r="T228" s="10">
        <f t="shared" si="26"/>
        <v>4.0332999999999997</v>
      </c>
      <c r="U228" s="9">
        <f t="shared" si="27"/>
        <v>0.87680434782608696</v>
      </c>
    </row>
    <row r="229" spans="1:21" x14ac:dyDescent="0.3">
      <c r="A229" s="1">
        <v>228</v>
      </c>
      <c r="B229" s="1" t="s">
        <v>370</v>
      </c>
      <c r="C229" s="4">
        <v>45336.556944444441</v>
      </c>
      <c r="D229" s="5">
        <f t="shared" si="21"/>
        <v>45336</v>
      </c>
      <c r="E229" s="3">
        <f t="shared" si="22"/>
        <v>13</v>
      </c>
      <c r="F229" s="1" t="str" cm="1">
        <f t="array" ref="F229">_xlfn.IFS(
E229&lt;11,"Morning",
E229&lt;15,"Afternoon",
TRUE,"Evening"
)</f>
        <v>Afternoon</v>
      </c>
      <c r="G229" s="3" t="str">
        <f t="shared" si="23"/>
        <v>Wed</v>
      </c>
      <c r="H229" s="1" t="s">
        <v>148</v>
      </c>
      <c r="I229" s="1" t="s">
        <v>149</v>
      </c>
      <c r="J229" s="1" t="s">
        <v>138</v>
      </c>
      <c r="K229" s="1" t="str">
        <f>_xlfn.XLOOKUP($J229, items_clean!$A:$A, items_clean!$B:$B, "")</f>
        <v>SNK-SSM</v>
      </c>
      <c r="L229" s="1" t="str">
        <f>_xlfn.XLOOKUP($J229, items_clean!$A:$A, items_clean!$C:$C, "")</f>
        <v>Sandwich Salami&amp;Mozzarella</v>
      </c>
      <c r="M229" s="1" t="str">
        <f>_xlfn.XLOOKUP($J229, items_clean!$A:$A, items_clean!$D:$D, "")</f>
        <v>Snacks</v>
      </c>
      <c r="N229" s="1" t="str">
        <f>_xlfn.XLOOKUP($J229, items_clean!$A:$A, items_clean!$E:$E, "")</f>
        <v>N/A</v>
      </c>
      <c r="O229" s="3">
        <v>1</v>
      </c>
      <c r="P229" s="2">
        <f>_xlfn.XLOOKUP($J229, items_clean!$A:$A, items_clean!$F:$F, "")</f>
        <v>5.5</v>
      </c>
      <c r="Q229" s="2">
        <f t="shared" si="24"/>
        <v>5.5</v>
      </c>
      <c r="R229" s="7">
        <f>_xlfn.XLOOKUP(K229, recipe_cost!$A:$A, recipe_cost!$B:$B, "")</f>
        <v>1.3120000000000001</v>
      </c>
      <c r="S229" s="10">
        <f t="shared" si="25"/>
        <v>1.3120000000000001</v>
      </c>
      <c r="T229" s="10">
        <f t="shared" si="26"/>
        <v>4.1879999999999997</v>
      </c>
      <c r="U229" s="9">
        <f t="shared" si="27"/>
        <v>0.76145454545454538</v>
      </c>
    </row>
    <row r="230" spans="1:21" x14ac:dyDescent="0.3">
      <c r="A230" s="1">
        <v>229</v>
      </c>
      <c r="B230" s="1" t="s">
        <v>370</v>
      </c>
      <c r="C230" s="4">
        <v>45336.556944444441</v>
      </c>
      <c r="D230" s="5">
        <f t="shared" si="21"/>
        <v>45336</v>
      </c>
      <c r="E230" s="3">
        <f t="shared" si="22"/>
        <v>13</v>
      </c>
      <c r="F230" s="1" t="str" cm="1">
        <f t="array" ref="F230">_xlfn.IFS(
E230&lt;11,"Morning",
E230&lt;15,"Afternoon",
TRUE,"Evening"
)</f>
        <v>Afternoon</v>
      </c>
      <c r="G230" s="3" t="str">
        <f t="shared" si="23"/>
        <v>Wed</v>
      </c>
      <c r="H230" s="1" t="s">
        <v>148</v>
      </c>
      <c r="I230" s="1" t="s">
        <v>778</v>
      </c>
      <c r="J230" s="1" t="s">
        <v>111</v>
      </c>
      <c r="K230" s="1" t="str">
        <f>_xlfn.XLOOKUP($J230, items_clean!$A:$A, items_clean!$B:$B, "")</f>
        <v>HDR-ESP</v>
      </c>
      <c r="L230" s="1" t="str">
        <f>_xlfn.XLOOKUP($J230, items_clean!$A:$A, items_clean!$C:$C, "")</f>
        <v>Espresso</v>
      </c>
      <c r="M230" s="1" t="str">
        <f>_xlfn.XLOOKUP($J230, items_clean!$A:$A, items_clean!$D:$D, "")</f>
        <v>Hot Drinks</v>
      </c>
      <c r="N230" s="1" t="str">
        <f>_xlfn.XLOOKUP($J230, items_clean!$A:$A, items_clean!$E:$E, "")</f>
        <v>N/A</v>
      </c>
      <c r="O230" s="3">
        <v>1</v>
      </c>
      <c r="P230" s="2">
        <f>_xlfn.XLOOKUP($J230, items_clean!$A:$A, items_clean!$F:$F, "")</f>
        <v>2.15</v>
      </c>
      <c r="Q230" s="2">
        <f t="shared" si="24"/>
        <v>2.15</v>
      </c>
      <c r="R230" s="7">
        <f>_xlfn.XLOOKUP(K230, recipe_cost!$A:$A, recipe_cost!$B:$B, "")</f>
        <v>9.6000000000000002E-2</v>
      </c>
      <c r="S230" s="10">
        <f t="shared" si="25"/>
        <v>9.6000000000000002E-2</v>
      </c>
      <c r="T230" s="10">
        <f t="shared" si="26"/>
        <v>2.0539999999999998</v>
      </c>
      <c r="U230" s="9">
        <f t="shared" si="27"/>
        <v>0.9553488372093023</v>
      </c>
    </row>
    <row r="231" spans="1:21" x14ac:dyDescent="0.3">
      <c r="A231" s="1">
        <v>230</v>
      </c>
      <c r="B231" s="1" t="s">
        <v>371</v>
      </c>
      <c r="C231" s="4">
        <v>45336.561805555553</v>
      </c>
      <c r="D231" s="5">
        <f t="shared" si="21"/>
        <v>45336</v>
      </c>
      <c r="E231" s="3">
        <f t="shared" si="22"/>
        <v>13</v>
      </c>
      <c r="F231" s="1" t="str" cm="1">
        <f t="array" ref="F231">_xlfn.IFS(
E231&lt;11,"Morning",
E231&lt;15,"Afternoon",
TRUE,"Evening"
)</f>
        <v>Afternoon</v>
      </c>
      <c r="G231" s="3" t="str">
        <f t="shared" si="23"/>
        <v>Wed</v>
      </c>
      <c r="H231" s="1" t="s">
        <v>253</v>
      </c>
      <c r="I231" s="1" t="s">
        <v>146</v>
      </c>
      <c r="J231" s="1" t="s">
        <v>96</v>
      </c>
      <c r="K231" s="1" t="str">
        <f>_xlfn.XLOOKUP($J231, items_clean!$A:$A, items_clean!$B:$B, "")</f>
        <v>HDR-CAP-MD</v>
      </c>
      <c r="L231" s="1" t="str">
        <f>_xlfn.XLOOKUP($J231, items_clean!$A:$A, items_clean!$C:$C, "")</f>
        <v>Cappuccino</v>
      </c>
      <c r="M231" s="1" t="str">
        <f>_xlfn.XLOOKUP($J231, items_clean!$A:$A, items_clean!$D:$D, "")</f>
        <v>Hot Drinks</v>
      </c>
      <c r="N231" s="1" t="str">
        <f>_xlfn.XLOOKUP($J231, items_clean!$A:$A, items_clean!$E:$E, "")</f>
        <v>Medium</v>
      </c>
      <c r="O231" s="3">
        <v>1</v>
      </c>
      <c r="P231" s="2">
        <f>_xlfn.XLOOKUP($J231, items_clean!$A:$A, items_clean!$F:$F, "")</f>
        <v>3.45</v>
      </c>
      <c r="Q231" s="2">
        <f t="shared" si="24"/>
        <v>3.45</v>
      </c>
      <c r="R231" s="7">
        <f>_xlfn.XLOOKUP(K231, recipe_cost!$A:$A, recipe_cost!$B:$B, "")</f>
        <v>0.252</v>
      </c>
      <c r="S231" s="10">
        <f t="shared" si="25"/>
        <v>0.252</v>
      </c>
      <c r="T231" s="10">
        <f t="shared" si="26"/>
        <v>3.1980000000000004</v>
      </c>
      <c r="U231" s="9">
        <f t="shared" si="27"/>
        <v>0.92695652173913046</v>
      </c>
    </row>
    <row r="232" spans="1:21" x14ac:dyDescent="0.3">
      <c r="A232" s="1">
        <v>231</v>
      </c>
      <c r="B232" s="1" t="s">
        <v>372</v>
      </c>
      <c r="C232" s="4">
        <v>45336.566666666666</v>
      </c>
      <c r="D232" s="5">
        <f t="shared" si="21"/>
        <v>45336</v>
      </c>
      <c r="E232" s="3">
        <f t="shared" si="22"/>
        <v>13</v>
      </c>
      <c r="F232" s="1" t="str" cm="1">
        <f t="array" ref="F232">_xlfn.IFS(
E232&lt;11,"Morning",
E232&lt;15,"Afternoon",
TRUE,"Evening"
)</f>
        <v>Afternoon</v>
      </c>
      <c r="G232" s="3" t="str">
        <f t="shared" si="23"/>
        <v>Wed</v>
      </c>
      <c r="H232" s="1" t="s">
        <v>157</v>
      </c>
      <c r="I232" s="1" t="s">
        <v>149</v>
      </c>
      <c r="J232" s="1" t="s">
        <v>129</v>
      </c>
      <c r="K232" s="1" t="str">
        <f>_xlfn.XLOOKUP($J232, items_clean!$A:$A, items_clean!$B:$B, "")</f>
        <v>CDR-ICT-MD</v>
      </c>
      <c r="L232" s="1" t="str">
        <f>_xlfn.XLOOKUP($J232, items_clean!$A:$A, items_clean!$C:$C, "")</f>
        <v>Iced Tea</v>
      </c>
      <c r="M232" s="1" t="str">
        <f>_xlfn.XLOOKUP($J232, items_clean!$A:$A, items_clean!$D:$D, "")</f>
        <v>Cold Drinks</v>
      </c>
      <c r="N232" s="1" t="str">
        <f>_xlfn.XLOOKUP($J232, items_clean!$A:$A, items_clean!$E:$E, "")</f>
        <v>Medium</v>
      </c>
      <c r="O232" s="3">
        <v>1</v>
      </c>
      <c r="P232" s="2">
        <f>_xlfn.XLOOKUP($J232, items_clean!$A:$A, items_clean!$F:$F, "")</f>
        <v>3.25</v>
      </c>
      <c r="Q232" s="2">
        <f t="shared" si="24"/>
        <v>3.25</v>
      </c>
      <c r="R232" s="7">
        <f>_xlfn.XLOOKUP(K232, recipe_cost!$A:$A, recipe_cost!$B:$B, "")</f>
        <v>0.19</v>
      </c>
      <c r="S232" s="10">
        <f t="shared" si="25"/>
        <v>0.19</v>
      </c>
      <c r="T232" s="10">
        <f t="shared" si="26"/>
        <v>3.06</v>
      </c>
      <c r="U232" s="9">
        <f t="shared" si="27"/>
        <v>0.94153846153846155</v>
      </c>
    </row>
    <row r="233" spans="1:21" x14ac:dyDescent="0.3">
      <c r="A233" s="1">
        <v>232</v>
      </c>
      <c r="B233" s="1" t="s">
        <v>373</v>
      </c>
      <c r="C233" s="4">
        <v>45336.571527777778</v>
      </c>
      <c r="D233" s="5">
        <f t="shared" si="21"/>
        <v>45336</v>
      </c>
      <c r="E233" s="3">
        <f t="shared" si="22"/>
        <v>13</v>
      </c>
      <c r="F233" s="1" t="str" cm="1">
        <f t="array" ref="F233">_xlfn.IFS(
E233&lt;11,"Morning",
E233&lt;15,"Afternoon",
TRUE,"Evening"
)</f>
        <v>Afternoon</v>
      </c>
      <c r="G233" s="3" t="str">
        <f t="shared" si="23"/>
        <v>Wed</v>
      </c>
      <c r="H233" s="1" t="s">
        <v>151</v>
      </c>
      <c r="I233" s="1" t="s">
        <v>146</v>
      </c>
      <c r="J233" s="1" t="s">
        <v>119</v>
      </c>
      <c r="K233" s="1" t="str">
        <f>_xlfn.XLOOKUP($J233, items_clean!$A:$A, items_clean!$B:$B, "")</f>
        <v>HDR-HCH-MD</v>
      </c>
      <c r="L233" s="1" t="str">
        <f>_xlfn.XLOOKUP($J233, items_clean!$A:$A, items_clean!$C:$C, "")</f>
        <v>Hot Chocolate</v>
      </c>
      <c r="M233" s="1" t="str">
        <f>_xlfn.XLOOKUP($J233, items_clean!$A:$A, items_clean!$D:$D, "")</f>
        <v>Hot Drinks</v>
      </c>
      <c r="N233" s="1" t="str">
        <f>_xlfn.XLOOKUP($J233, items_clean!$A:$A, items_clean!$E:$E, "")</f>
        <v>Medium</v>
      </c>
      <c r="O233" s="3">
        <v>1</v>
      </c>
      <c r="P233" s="2">
        <f>_xlfn.XLOOKUP($J233, items_clean!$A:$A, items_clean!$F:$F, "")</f>
        <v>4.2</v>
      </c>
      <c r="Q233" s="2">
        <f t="shared" si="24"/>
        <v>4.2</v>
      </c>
      <c r="R233" s="7">
        <f>_xlfn.XLOOKUP(K233, recipe_cost!$A:$A, recipe_cost!$B:$B, "")</f>
        <v>1.0509999999999999</v>
      </c>
      <c r="S233" s="10">
        <f t="shared" si="25"/>
        <v>1.0509999999999999</v>
      </c>
      <c r="T233" s="10">
        <f t="shared" si="26"/>
        <v>3.149</v>
      </c>
      <c r="U233" s="9">
        <f t="shared" si="27"/>
        <v>0.74976190476190474</v>
      </c>
    </row>
    <row r="234" spans="1:21" x14ac:dyDescent="0.3">
      <c r="A234" s="1">
        <v>233</v>
      </c>
      <c r="B234" s="1" t="s">
        <v>375</v>
      </c>
      <c r="C234" s="4">
        <v>45336.581250000003</v>
      </c>
      <c r="D234" s="5">
        <f t="shared" si="21"/>
        <v>45336</v>
      </c>
      <c r="E234" s="3">
        <f t="shared" si="22"/>
        <v>13</v>
      </c>
      <c r="F234" s="1" t="str" cm="1">
        <f t="array" ref="F234">_xlfn.IFS(
E234&lt;11,"Morning",
E234&lt;15,"Afternoon",
TRUE,"Evening"
)</f>
        <v>Afternoon</v>
      </c>
      <c r="G234" s="3" t="str">
        <f t="shared" si="23"/>
        <v>Wed</v>
      </c>
      <c r="H234" s="1" t="s">
        <v>155</v>
      </c>
      <c r="I234" s="1" t="s">
        <v>146</v>
      </c>
      <c r="J234" s="1" t="s">
        <v>104</v>
      </c>
      <c r="K234" s="1" t="str">
        <f>_xlfn.XLOOKUP($J234, items_clean!$A:$A, items_clean!$B:$B, "")</f>
        <v>HDR-LAT-LG</v>
      </c>
      <c r="L234" s="1" t="str">
        <f>_xlfn.XLOOKUP($J234, items_clean!$A:$A, items_clean!$C:$C, "")</f>
        <v>Latte</v>
      </c>
      <c r="M234" s="1" t="str">
        <f>_xlfn.XLOOKUP($J234, items_clean!$A:$A, items_clean!$D:$D, "")</f>
        <v>Hot Drinks</v>
      </c>
      <c r="N234" s="1" t="str">
        <f>_xlfn.XLOOKUP($J234, items_clean!$A:$A, items_clean!$E:$E, "")</f>
        <v>Large</v>
      </c>
      <c r="O234" s="3">
        <v>1</v>
      </c>
      <c r="P234" s="2">
        <f>_xlfn.XLOOKUP($J234, items_clean!$A:$A, items_clean!$F:$F, "")</f>
        <v>3.75</v>
      </c>
      <c r="Q234" s="2">
        <f t="shared" si="24"/>
        <v>3.75</v>
      </c>
      <c r="R234" s="7">
        <f>_xlfn.XLOOKUP(K234, recipe_cost!$A:$A, recipe_cost!$B:$B, "")</f>
        <v>0.33599999999999997</v>
      </c>
      <c r="S234" s="10">
        <f t="shared" si="25"/>
        <v>0.33599999999999997</v>
      </c>
      <c r="T234" s="10">
        <f t="shared" si="26"/>
        <v>3.4140000000000001</v>
      </c>
      <c r="U234" s="9">
        <f t="shared" si="27"/>
        <v>0.91039999999999999</v>
      </c>
    </row>
    <row r="235" spans="1:21" x14ac:dyDescent="0.3">
      <c r="A235" s="1">
        <v>234</v>
      </c>
      <c r="B235" s="1" t="s">
        <v>376</v>
      </c>
      <c r="C235" s="4">
        <v>45336.586805555555</v>
      </c>
      <c r="D235" s="5">
        <f t="shared" si="21"/>
        <v>45336</v>
      </c>
      <c r="E235" s="3">
        <f t="shared" si="22"/>
        <v>14</v>
      </c>
      <c r="F235" s="1" t="str" cm="1">
        <f t="array" ref="F235">_xlfn.IFS(
E235&lt;11,"Morning",
E235&lt;15,"Afternoon",
TRUE,"Evening"
)</f>
        <v>Afternoon</v>
      </c>
      <c r="G235" s="3" t="str">
        <f t="shared" si="23"/>
        <v>Wed</v>
      </c>
      <c r="H235" s="1" t="s">
        <v>159</v>
      </c>
      <c r="I235" s="1" t="s">
        <v>149</v>
      </c>
      <c r="J235" s="1" t="s">
        <v>132</v>
      </c>
      <c r="K235" s="1" t="str">
        <f>_xlfn.XLOOKUP($J235, items_clean!$A:$A, items_clean!$B:$B, "")</f>
        <v>CDR-LMN-MD</v>
      </c>
      <c r="L235" s="1" t="str">
        <f>_xlfn.XLOOKUP($J235, items_clean!$A:$A, items_clean!$C:$C, "")</f>
        <v>Lemonade</v>
      </c>
      <c r="M235" s="1" t="str">
        <f>_xlfn.XLOOKUP($J235, items_clean!$A:$A, items_clean!$D:$D, "")</f>
        <v>Cold Drinks</v>
      </c>
      <c r="N235" s="1" t="str">
        <f>_xlfn.XLOOKUP($J235, items_clean!$A:$A, items_clean!$E:$E, "")</f>
        <v>Medium</v>
      </c>
      <c r="O235" s="3">
        <v>1</v>
      </c>
      <c r="P235" s="2">
        <f>_xlfn.XLOOKUP($J235, items_clean!$A:$A, items_clean!$F:$F, "")</f>
        <v>3.35</v>
      </c>
      <c r="Q235" s="2">
        <f t="shared" si="24"/>
        <v>3.35</v>
      </c>
      <c r="R235" s="7">
        <f>_xlfn.XLOOKUP(K235, recipe_cost!$A:$A, recipe_cost!$B:$B, "")</f>
        <v>0.34499999999999997</v>
      </c>
      <c r="S235" s="10">
        <f t="shared" si="25"/>
        <v>0.34499999999999997</v>
      </c>
      <c r="T235" s="10">
        <f t="shared" si="26"/>
        <v>3.0049999999999999</v>
      </c>
      <c r="U235" s="9">
        <f t="shared" si="27"/>
        <v>0.89701492537313432</v>
      </c>
    </row>
    <row r="236" spans="1:21" x14ac:dyDescent="0.3">
      <c r="A236" s="1">
        <v>235</v>
      </c>
      <c r="B236" s="1" t="s">
        <v>376</v>
      </c>
      <c r="C236" s="4">
        <v>45336.586805555555</v>
      </c>
      <c r="D236" s="5">
        <f t="shared" si="21"/>
        <v>45336</v>
      </c>
      <c r="E236" s="3">
        <f t="shared" si="22"/>
        <v>14</v>
      </c>
      <c r="F236" s="1" t="str" cm="1">
        <f t="array" ref="F236">_xlfn.IFS(
E236&lt;11,"Morning",
E236&lt;15,"Afternoon",
TRUE,"Evening"
)</f>
        <v>Afternoon</v>
      </c>
      <c r="G236" s="3" t="str">
        <f t="shared" si="23"/>
        <v>Wed</v>
      </c>
      <c r="H236" s="1" t="s">
        <v>159</v>
      </c>
      <c r="I236" s="1" t="s">
        <v>778</v>
      </c>
      <c r="J236" s="1" t="s">
        <v>100</v>
      </c>
      <c r="K236" s="1" t="str">
        <f>_xlfn.XLOOKUP($J236, items_clean!$A:$A, items_clean!$B:$B, "")</f>
        <v>HDR-CAP-LG</v>
      </c>
      <c r="L236" s="1" t="str">
        <f>_xlfn.XLOOKUP($J236, items_clean!$A:$A, items_clean!$C:$C, "")</f>
        <v>Cappuccino</v>
      </c>
      <c r="M236" s="1" t="str">
        <f>_xlfn.XLOOKUP($J236, items_clean!$A:$A, items_clean!$D:$D, "")</f>
        <v>Hot Drinks</v>
      </c>
      <c r="N236" s="1" t="str">
        <f>_xlfn.XLOOKUP($J236, items_clean!$A:$A, items_clean!$E:$E, "")</f>
        <v>Large</v>
      </c>
      <c r="O236" s="3">
        <v>1</v>
      </c>
      <c r="P236" s="2">
        <f>_xlfn.XLOOKUP($J236, items_clean!$A:$A, items_clean!$F:$F, "")</f>
        <v>3.75</v>
      </c>
      <c r="Q236" s="2">
        <f t="shared" si="24"/>
        <v>3.75</v>
      </c>
      <c r="R236" s="7">
        <f>_xlfn.XLOOKUP(K236, recipe_cost!$A:$A, recipe_cost!$B:$B, "")</f>
        <v>0.33599999999999997</v>
      </c>
      <c r="S236" s="10">
        <f t="shared" si="25"/>
        <v>0.33599999999999997</v>
      </c>
      <c r="T236" s="10">
        <f t="shared" si="26"/>
        <v>3.4140000000000001</v>
      </c>
      <c r="U236" s="9">
        <f t="shared" si="27"/>
        <v>0.91039999999999999</v>
      </c>
    </row>
    <row r="237" spans="1:21" x14ac:dyDescent="0.3">
      <c r="A237" s="1">
        <v>236</v>
      </c>
      <c r="B237" s="1" t="s">
        <v>377</v>
      </c>
      <c r="C237" s="4">
        <v>45336.591666666667</v>
      </c>
      <c r="D237" s="5">
        <f t="shared" si="21"/>
        <v>45336</v>
      </c>
      <c r="E237" s="3">
        <f t="shared" si="22"/>
        <v>14</v>
      </c>
      <c r="F237" s="1" t="str" cm="1">
        <f t="array" ref="F237">_xlfn.IFS(
E237&lt;11,"Morning",
E237&lt;15,"Afternoon",
TRUE,"Evening"
)</f>
        <v>Afternoon</v>
      </c>
      <c r="G237" s="3" t="str">
        <f t="shared" si="23"/>
        <v>Wed</v>
      </c>
      <c r="H237" s="1" t="s">
        <v>161</v>
      </c>
      <c r="I237" s="1" t="s">
        <v>146</v>
      </c>
      <c r="J237" s="1" t="s">
        <v>128</v>
      </c>
      <c r="K237" s="1" t="str">
        <f>_xlfn.XLOOKUP($J237, items_clean!$A:$A, items_clean!$B:$B, "")</f>
        <v>CDR-CMO-LG</v>
      </c>
      <c r="L237" s="1" t="str">
        <f>_xlfn.XLOOKUP($J237, items_clean!$A:$A, items_clean!$C:$C, "")</f>
        <v>Cold Mocha</v>
      </c>
      <c r="M237" s="1" t="str">
        <f>_xlfn.XLOOKUP($J237, items_clean!$A:$A, items_clean!$D:$D, "")</f>
        <v>Cold Drinks</v>
      </c>
      <c r="N237" s="1" t="str">
        <f>_xlfn.XLOOKUP($J237, items_clean!$A:$A, items_clean!$E:$E, "")</f>
        <v>Large</v>
      </c>
      <c r="O237" s="3">
        <v>1</v>
      </c>
      <c r="P237" s="2">
        <f>_xlfn.XLOOKUP($J237, items_clean!$A:$A, items_clean!$F:$F, "")</f>
        <v>4.5999999999999996</v>
      </c>
      <c r="Q237" s="2">
        <f t="shared" si="24"/>
        <v>4.5999999999999996</v>
      </c>
      <c r="R237" s="7">
        <f>_xlfn.XLOOKUP(K237, recipe_cost!$A:$A, recipe_cost!$B:$B, "")</f>
        <v>0.56669999999999998</v>
      </c>
      <c r="S237" s="10">
        <f t="shared" si="25"/>
        <v>0.56669999999999998</v>
      </c>
      <c r="T237" s="10">
        <f t="shared" si="26"/>
        <v>4.0332999999999997</v>
      </c>
      <c r="U237" s="9">
        <f t="shared" si="27"/>
        <v>0.87680434782608696</v>
      </c>
    </row>
    <row r="238" spans="1:21" x14ac:dyDescent="0.3">
      <c r="A238" s="1">
        <v>237</v>
      </c>
      <c r="B238" s="1" t="s">
        <v>379</v>
      </c>
      <c r="C238" s="4">
        <v>45336.601388888892</v>
      </c>
      <c r="D238" s="5">
        <f t="shared" si="21"/>
        <v>45336</v>
      </c>
      <c r="E238" s="3">
        <f t="shared" si="22"/>
        <v>14</v>
      </c>
      <c r="F238" s="1" t="str" cm="1">
        <f t="array" ref="F238">_xlfn.IFS(
E238&lt;11,"Morning",
E238&lt;15,"Afternoon",
TRUE,"Evening"
)</f>
        <v>Afternoon</v>
      </c>
      <c r="G238" s="3" t="str">
        <f t="shared" si="23"/>
        <v>Wed</v>
      </c>
      <c r="H238" s="1" t="s">
        <v>165</v>
      </c>
      <c r="I238" s="1" t="s">
        <v>146</v>
      </c>
      <c r="J238" s="1" t="s">
        <v>110</v>
      </c>
      <c r="K238" s="1" t="str">
        <f>_xlfn.XLOOKUP($J238, items_clean!$A:$A, items_clean!$B:$B, "")</f>
        <v>HDR-CRM-LG</v>
      </c>
      <c r="L238" s="1" t="str">
        <f>_xlfn.XLOOKUP($J238, items_clean!$A:$A, items_clean!$C:$C, "")</f>
        <v>Caramel Macchiato</v>
      </c>
      <c r="M238" s="1" t="str">
        <f>_xlfn.XLOOKUP($J238, items_clean!$A:$A, items_clean!$D:$D, "")</f>
        <v>Hot Drinks</v>
      </c>
      <c r="N238" s="1" t="str">
        <f>_xlfn.XLOOKUP($J238, items_clean!$A:$A, items_clean!$E:$E, "")</f>
        <v>Large</v>
      </c>
      <c r="O238" s="3">
        <v>1</v>
      </c>
      <c r="P238" s="2">
        <f>_xlfn.XLOOKUP($J238, items_clean!$A:$A, items_clean!$F:$F, "")</f>
        <v>4.5999999999999996</v>
      </c>
      <c r="Q238" s="2">
        <f t="shared" si="24"/>
        <v>4.5999999999999996</v>
      </c>
      <c r="R238" s="7">
        <f>_xlfn.XLOOKUP(K238, recipe_cost!$A:$A, recipe_cost!$B:$B, "")</f>
        <v>0.56669999999999998</v>
      </c>
      <c r="S238" s="10">
        <f t="shared" si="25"/>
        <v>0.56669999999999998</v>
      </c>
      <c r="T238" s="10">
        <f t="shared" si="26"/>
        <v>4.0332999999999997</v>
      </c>
      <c r="U238" s="9">
        <f t="shared" si="27"/>
        <v>0.87680434782608696</v>
      </c>
    </row>
    <row r="239" spans="1:21" x14ac:dyDescent="0.3">
      <c r="A239" s="1">
        <v>238</v>
      </c>
      <c r="B239" s="1" t="s">
        <v>380</v>
      </c>
      <c r="C239" s="4">
        <v>45336.606249999997</v>
      </c>
      <c r="D239" s="5">
        <f t="shared" si="21"/>
        <v>45336</v>
      </c>
      <c r="E239" s="3">
        <f t="shared" si="22"/>
        <v>14</v>
      </c>
      <c r="F239" s="1" t="str" cm="1">
        <f t="array" ref="F239">_xlfn.IFS(
E239&lt;11,"Morning",
E239&lt;15,"Afternoon",
TRUE,"Evening"
)</f>
        <v>Afternoon</v>
      </c>
      <c r="G239" s="3" t="str">
        <f t="shared" si="23"/>
        <v>Wed</v>
      </c>
      <c r="H239" s="1" t="s">
        <v>167</v>
      </c>
      <c r="I239" s="1" t="s">
        <v>149</v>
      </c>
      <c r="J239" s="1" t="s">
        <v>118</v>
      </c>
      <c r="K239" s="1" t="str">
        <f>_xlfn.XLOOKUP($J239, items_clean!$A:$A, items_clean!$B:$B, "")</f>
        <v>HDR-WMO-LG</v>
      </c>
      <c r="L239" s="1" t="str">
        <f>_xlfn.XLOOKUP($J239, items_clean!$A:$A, items_clean!$C:$C, "")</f>
        <v>White Mocha</v>
      </c>
      <c r="M239" s="1" t="str">
        <f>_xlfn.XLOOKUP($J239, items_clean!$A:$A, items_clean!$D:$D, "")</f>
        <v>Hot Drinks</v>
      </c>
      <c r="N239" s="1" t="str">
        <f>_xlfn.XLOOKUP($J239, items_clean!$A:$A, items_clean!$E:$E, "")</f>
        <v>Large</v>
      </c>
      <c r="O239" s="3">
        <v>1</v>
      </c>
      <c r="P239" s="2">
        <f>_xlfn.XLOOKUP($J239, items_clean!$A:$A, items_clean!$F:$F, "")</f>
        <v>4.7</v>
      </c>
      <c r="Q239" s="2">
        <f t="shared" si="24"/>
        <v>4.7</v>
      </c>
      <c r="R239" s="7">
        <f>_xlfn.XLOOKUP(K239, recipe_cost!$A:$A, recipe_cost!$B:$B, "")</f>
        <v>0.56669999999999998</v>
      </c>
      <c r="S239" s="10">
        <f t="shared" si="25"/>
        <v>0.56669999999999998</v>
      </c>
      <c r="T239" s="10">
        <f t="shared" si="26"/>
        <v>4.1333000000000002</v>
      </c>
      <c r="U239" s="9">
        <f t="shared" si="27"/>
        <v>0.87942553191489359</v>
      </c>
    </row>
    <row r="240" spans="1:21" x14ac:dyDescent="0.3">
      <c r="A240" s="1">
        <v>239</v>
      </c>
      <c r="B240" s="1" t="s">
        <v>382</v>
      </c>
      <c r="C240" s="4">
        <v>45336.615972222222</v>
      </c>
      <c r="D240" s="5">
        <f t="shared" si="21"/>
        <v>45336</v>
      </c>
      <c r="E240" s="3">
        <f t="shared" si="22"/>
        <v>14</v>
      </c>
      <c r="F240" s="1" t="str" cm="1">
        <f t="array" ref="F240">_xlfn.IFS(
E240&lt;11,"Morning",
E240&lt;15,"Afternoon",
TRUE,"Evening"
)</f>
        <v>Afternoon</v>
      </c>
      <c r="G240" s="3" t="str">
        <f t="shared" si="23"/>
        <v>Wed</v>
      </c>
      <c r="H240" s="1" t="s">
        <v>256</v>
      </c>
      <c r="I240" s="1" t="s">
        <v>149</v>
      </c>
      <c r="J240" s="1" t="s">
        <v>122</v>
      </c>
      <c r="K240" s="1" t="str">
        <f>_xlfn.XLOOKUP($J240, items_clean!$A:$A, items_clean!$B:$B, "")</f>
        <v>CDR-CCF-MD</v>
      </c>
      <c r="L240" s="1" t="str">
        <f>_xlfn.XLOOKUP($J240, items_clean!$A:$A, items_clean!$C:$C, "")</f>
        <v>Cold Coffee</v>
      </c>
      <c r="M240" s="1" t="str">
        <f>_xlfn.XLOOKUP($J240, items_clean!$A:$A, items_clean!$D:$D, "")</f>
        <v>Cold Drinks</v>
      </c>
      <c r="N240" s="1" t="str">
        <f>_xlfn.XLOOKUP($J240, items_clean!$A:$A, items_clean!$E:$E, "")</f>
        <v>Medium</v>
      </c>
      <c r="O240" s="3">
        <v>1</v>
      </c>
      <c r="P240" s="2">
        <f>_xlfn.XLOOKUP($J240, items_clean!$A:$A, items_clean!$F:$F, "")</f>
        <v>3.45</v>
      </c>
      <c r="Q240" s="2">
        <f t="shared" si="24"/>
        <v>3.45</v>
      </c>
      <c r="R240" s="7">
        <f>_xlfn.XLOOKUP(K240, recipe_cost!$A:$A, recipe_cost!$B:$B, "")</f>
        <v>0.252</v>
      </c>
      <c r="S240" s="10">
        <f t="shared" si="25"/>
        <v>0.252</v>
      </c>
      <c r="T240" s="10">
        <f t="shared" si="26"/>
        <v>3.1980000000000004</v>
      </c>
      <c r="U240" s="9">
        <f t="shared" si="27"/>
        <v>0.92695652173913046</v>
      </c>
    </row>
    <row r="241" spans="1:21" x14ac:dyDescent="0.3">
      <c r="A241" s="1">
        <v>240</v>
      </c>
      <c r="B241" s="1" t="s">
        <v>383</v>
      </c>
      <c r="C241" s="4">
        <v>45336.62777777778</v>
      </c>
      <c r="D241" s="5">
        <f t="shared" si="21"/>
        <v>45336</v>
      </c>
      <c r="E241" s="3">
        <f t="shared" si="22"/>
        <v>15</v>
      </c>
      <c r="F241" s="1" t="str" cm="1">
        <f t="array" ref="F241">_xlfn.IFS(
E241&lt;11,"Morning",
E241&lt;15,"Afternoon",
TRUE,"Evening"
)</f>
        <v>Evening</v>
      </c>
      <c r="G241" s="3" t="str">
        <f t="shared" si="23"/>
        <v>Wed</v>
      </c>
      <c r="H241" s="1" t="s">
        <v>145</v>
      </c>
      <c r="I241" s="1" t="s">
        <v>146</v>
      </c>
      <c r="J241" s="1" t="s">
        <v>100</v>
      </c>
      <c r="K241" s="1" t="str">
        <f>_xlfn.XLOOKUP($J241, items_clean!$A:$A, items_clean!$B:$B, "")</f>
        <v>HDR-CAP-LG</v>
      </c>
      <c r="L241" s="1" t="str">
        <f>_xlfn.XLOOKUP($J241, items_clean!$A:$A, items_clean!$C:$C, "")</f>
        <v>Cappuccino</v>
      </c>
      <c r="M241" s="1" t="str">
        <f>_xlfn.XLOOKUP($J241, items_clean!$A:$A, items_clean!$D:$D, "")</f>
        <v>Hot Drinks</v>
      </c>
      <c r="N241" s="1" t="str">
        <f>_xlfn.XLOOKUP($J241, items_clean!$A:$A, items_clean!$E:$E, "")</f>
        <v>Large</v>
      </c>
      <c r="O241" s="3">
        <v>1</v>
      </c>
      <c r="P241" s="2">
        <f>_xlfn.XLOOKUP($J241, items_clean!$A:$A, items_clean!$F:$F, "")</f>
        <v>3.75</v>
      </c>
      <c r="Q241" s="2">
        <f t="shared" si="24"/>
        <v>3.75</v>
      </c>
      <c r="R241" s="7">
        <f>_xlfn.XLOOKUP(K241, recipe_cost!$A:$A, recipe_cost!$B:$B, "")</f>
        <v>0.33599999999999997</v>
      </c>
      <c r="S241" s="10">
        <f t="shared" si="25"/>
        <v>0.33599999999999997</v>
      </c>
      <c r="T241" s="10">
        <f t="shared" si="26"/>
        <v>3.4140000000000001</v>
      </c>
      <c r="U241" s="9">
        <f t="shared" si="27"/>
        <v>0.91039999999999999</v>
      </c>
    </row>
    <row r="242" spans="1:21" x14ac:dyDescent="0.3">
      <c r="A242" s="1">
        <v>241</v>
      </c>
      <c r="B242" s="1" t="s">
        <v>384</v>
      </c>
      <c r="C242" s="4">
        <v>45336.640277777777</v>
      </c>
      <c r="D242" s="5">
        <f t="shared" si="21"/>
        <v>45336</v>
      </c>
      <c r="E242" s="3">
        <f t="shared" si="22"/>
        <v>15</v>
      </c>
      <c r="F242" s="1" t="str" cm="1">
        <f t="array" ref="F242">_xlfn.IFS(
E242&lt;11,"Morning",
E242&lt;15,"Afternoon",
TRUE,"Evening"
)</f>
        <v>Evening</v>
      </c>
      <c r="G242" s="3" t="str">
        <f t="shared" si="23"/>
        <v>Wed</v>
      </c>
      <c r="H242" s="1" t="s">
        <v>148</v>
      </c>
      <c r="I242" s="1" t="s">
        <v>149</v>
      </c>
      <c r="J242" s="1" t="s">
        <v>138</v>
      </c>
      <c r="K242" s="1" t="str">
        <f>_xlfn.XLOOKUP($J242, items_clean!$A:$A, items_clean!$B:$B, "")</f>
        <v>SNK-SSM</v>
      </c>
      <c r="L242" s="1" t="str">
        <f>_xlfn.XLOOKUP($J242, items_clean!$A:$A, items_clean!$C:$C, "")</f>
        <v>Sandwich Salami&amp;Mozzarella</v>
      </c>
      <c r="M242" s="1" t="str">
        <f>_xlfn.XLOOKUP($J242, items_clean!$A:$A, items_clean!$D:$D, "")</f>
        <v>Snacks</v>
      </c>
      <c r="N242" s="1" t="str">
        <f>_xlfn.XLOOKUP($J242, items_clean!$A:$A, items_clean!$E:$E, "")</f>
        <v>N/A</v>
      </c>
      <c r="O242" s="3">
        <v>1</v>
      </c>
      <c r="P242" s="2">
        <f>_xlfn.XLOOKUP($J242, items_clean!$A:$A, items_clean!$F:$F, "")</f>
        <v>5.5</v>
      </c>
      <c r="Q242" s="2">
        <f t="shared" si="24"/>
        <v>5.5</v>
      </c>
      <c r="R242" s="7">
        <f>_xlfn.XLOOKUP(K242, recipe_cost!$A:$A, recipe_cost!$B:$B, "")</f>
        <v>1.3120000000000001</v>
      </c>
      <c r="S242" s="10">
        <f t="shared" si="25"/>
        <v>1.3120000000000001</v>
      </c>
      <c r="T242" s="10">
        <f t="shared" si="26"/>
        <v>4.1879999999999997</v>
      </c>
      <c r="U242" s="9">
        <f t="shared" si="27"/>
        <v>0.76145454545454538</v>
      </c>
    </row>
    <row r="243" spans="1:21" x14ac:dyDescent="0.3">
      <c r="A243" s="1">
        <v>242</v>
      </c>
      <c r="B243" s="1" t="s">
        <v>385</v>
      </c>
      <c r="C243" s="4">
        <v>45336.65347222222</v>
      </c>
      <c r="D243" s="5">
        <f t="shared" si="21"/>
        <v>45336</v>
      </c>
      <c r="E243" s="3">
        <f t="shared" si="22"/>
        <v>15</v>
      </c>
      <c r="F243" s="1" t="str" cm="1">
        <f t="array" ref="F243">_xlfn.IFS(
E243&lt;11,"Morning",
E243&lt;15,"Afternoon",
TRUE,"Evening"
)</f>
        <v>Evening</v>
      </c>
      <c r="G243" s="3" t="str">
        <f t="shared" si="23"/>
        <v>Wed</v>
      </c>
      <c r="H243" s="1" t="s">
        <v>253</v>
      </c>
      <c r="I243" s="1" t="s">
        <v>146</v>
      </c>
      <c r="J243" s="1" t="s">
        <v>128</v>
      </c>
      <c r="K243" s="1" t="str">
        <f>_xlfn.XLOOKUP($J243, items_clean!$A:$A, items_clean!$B:$B, "")</f>
        <v>CDR-CMO-LG</v>
      </c>
      <c r="L243" s="1" t="str">
        <f>_xlfn.XLOOKUP($J243, items_clean!$A:$A, items_clean!$C:$C, "")</f>
        <v>Cold Mocha</v>
      </c>
      <c r="M243" s="1" t="str">
        <f>_xlfn.XLOOKUP($J243, items_clean!$A:$A, items_clean!$D:$D, "")</f>
        <v>Cold Drinks</v>
      </c>
      <c r="N243" s="1" t="str">
        <f>_xlfn.XLOOKUP($J243, items_clean!$A:$A, items_clean!$E:$E, "")</f>
        <v>Large</v>
      </c>
      <c r="O243" s="3">
        <v>1</v>
      </c>
      <c r="P243" s="2">
        <f>_xlfn.XLOOKUP($J243, items_clean!$A:$A, items_clean!$F:$F, "")</f>
        <v>4.5999999999999996</v>
      </c>
      <c r="Q243" s="2">
        <f t="shared" si="24"/>
        <v>4.5999999999999996</v>
      </c>
      <c r="R243" s="7">
        <f>_xlfn.XLOOKUP(K243, recipe_cost!$A:$A, recipe_cost!$B:$B, "")</f>
        <v>0.56669999999999998</v>
      </c>
      <c r="S243" s="10">
        <f t="shared" si="25"/>
        <v>0.56669999999999998</v>
      </c>
      <c r="T243" s="10">
        <f t="shared" si="26"/>
        <v>4.0332999999999997</v>
      </c>
      <c r="U243" s="9">
        <f t="shared" si="27"/>
        <v>0.87680434782608696</v>
      </c>
    </row>
    <row r="244" spans="1:21" x14ac:dyDescent="0.3">
      <c r="A244" s="1">
        <v>243</v>
      </c>
      <c r="B244" s="1" t="s">
        <v>386</v>
      </c>
      <c r="C244" s="4">
        <v>45336.665972222225</v>
      </c>
      <c r="D244" s="5">
        <f t="shared" si="21"/>
        <v>45336</v>
      </c>
      <c r="E244" s="3">
        <f t="shared" si="22"/>
        <v>15</v>
      </c>
      <c r="F244" s="1" t="str" cm="1">
        <f t="array" ref="F244">_xlfn.IFS(
E244&lt;11,"Morning",
E244&lt;15,"Afternoon",
TRUE,"Evening"
)</f>
        <v>Evening</v>
      </c>
      <c r="G244" s="3" t="str">
        <f t="shared" si="23"/>
        <v>Wed</v>
      </c>
      <c r="H244" s="1" t="s">
        <v>157</v>
      </c>
      <c r="I244" s="1" t="s">
        <v>149</v>
      </c>
      <c r="J244" s="1" t="s">
        <v>116</v>
      </c>
      <c r="K244" s="1" t="str">
        <f>_xlfn.XLOOKUP($J244, items_clean!$A:$A, items_clean!$B:$B, "")</f>
        <v>HDR-WMO-MD</v>
      </c>
      <c r="L244" s="1" t="str">
        <f>_xlfn.XLOOKUP($J244, items_clean!$A:$A, items_clean!$C:$C, "")</f>
        <v>White Mocha</v>
      </c>
      <c r="M244" s="1" t="str">
        <f>_xlfn.XLOOKUP($J244, items_clean!$A:$A, items_clean!$D:$D, "")</f>
        <v>Hot Drinks</v>
      </c>
      <c r="N244" s="1" t="str">
        <f>_xlfn.XLOOKUP($J244, items_clean!$A:$A, items_clean!$E:$E, "")</f>
        <v>Medium</v>
      </c>
      <c r="O244" s="3">
        <v>1</v>
      </c>
      <c r="P244" s="2">
        <f>_xlfn.XLOOKUP($J244, items_clean!$A:$A, items_clean!$F:$F, "")</f>
        <v>4.5</v>
      </c>
      <c r="Q244" s="2">
        <f t="shared" si="24"/>
        <v>4.5</v>
      </c>
      <c r="R244" s="7">
        <f>_xlfn.XLOOKUP(K244, recipe_cost!$A:$A, recipe_cost!$B:$B, "")</f>
        <v>0.4098</v>
      </c>
      <c r="S244" s="10">
        <f t="shared" si="25"/>
        <v>0.4098</v>
      </c>
      <c r="T244" s="10">
        <f t="shared" si="26"/>
        <v>4.0902000000000003</v>
      </c>
      <c r="U244" s="9">
        <f t="shared" si="27"/>
        <v>0.90893333333333337</v>
      </c>
    </row>
    <row r="245" spans="1:21" x14ac:dyDescent="0.3">
      <c r="A245" s="1">
        <v>244</v>
      </c>
      <c r="B245" s="1" t="s">
        <v>387</v>
      </c>
      <c r="C245" s="4">
        <v>45336.678472222222</v>
      </c>
      <c r="D245" s="5">
        <f t="shared" si="21"/>
        <v>45336</v>
      </c>
      <c r="E245" s="3">
        <f t="shared" si="22"/>
        <v>16</v>
      </c>
      <c r="F245" s="1" t="str" cm="1">
        <f t="array" ref="F245">_xlfn.IFS(
E245&lt;11,"Morning",
E245&lt;15,"Afternoon",
TRUE,"Evening"
)</f>
        <v>Evening</v>
      </c>
      <c r="G245" s="3" t="str">
        <f t="shared" si="23"/>
        <v>Wed</v>
      </c>
      <c r="H245" s="1" t="s">
        <v>151</v>
      </c>
      <c r="I245" s="1" t="s">
        <v>146</v>
      </c>
      <c r="J245" s="1" t="s">
        <v>105</v>
      </c>
      <c r="K245" s="1" t="str">
        <f>_xlfn.XLOOKUP($J245, items_clean!$A:$A, items_clean!$B:$B, "")</f>
        <v>HDR-FLT</v>
      </c>
      <c r="L245" s="1" t="str">
        <f>_xlfn.XLOOKUP($J245, items_clean!$A:$A, items_clean!$C:$C, "")</f>
        <v>Flat White</v>
      </c>
      <c r="M245" s="1" t="str">
        <f>_xlfn.XLOOKUP($J245, items_clean!$A:$A, items_clean!$D:$D, "")</f>
        <v>Hot Drinks</v>
      </c>
      <c r="N245" s="1" t="str">
        <f>_xlfn.XLOOKUP($J245, items_clean!$A:$A, items_clean!$E:$E, "")</f>
        <v>N/A</v>
      </c>
      <c r="O245" s="3">
        <v>1</v>
      </c>
      <c r="P245" s="2">
        <f>_xlfn.XLOOKUP($J245, items_clean!$A:$A, items_clean!$F:$F, "")</f>
        <v>3.15</v>
      </c>
      <c r="Q245" s="2">
        <f t="shared" si="24"/>
        <v>3.15</v>
      </c>
      <c r="R245" s="7">
        <f>_xlfn.XLOOKUP(K245, recipe_cost!$A:$A, recipe_cost!$B:$B, "")</f>
        <v>0.28799999999999998</v>
      </c>
      <c r="S245" s="10">
        <f t="shared" si="25"/>
        <v>0.28799999999999998</v>
      </c>
      <c r="T245" s="10">
        <f t="shared" si="26"/>
        <v>2.8620000000000001</v>
      </c>
      <c r="U245" s="9">
        <f t="shared" si="27"/>
        <v>0.90857142857142859</v>
      </c>
    </row>
    <row r="246" spans="1:21" x14ac:dyDescent="0.3">
      <c r="A246" s="1">
        <v>245</v>
      </c>
      <c r="B246" s="1" t="s">
        <v>388</v>
      </c>
      <c r="C246" s="4">
        <v>45336.690972222219</v>
      </c>
      <c r="D246" s="5">
        <f t="shared" si="21"/>
        <v>45336</v>
      </c>
      <c r="E246" s="3">
        <f t="shared" si="22"/>
        <v>16</v>
      </c>
      <c r="F246" s="1" t="str" cm="1">
        <f t="array" ref="F246">_xlfn.IFS(
E246&lt;11,"Morning",
E246&lt;15,"Afternoon",
TRUE,"Evening"
)</f>
        <v>Evening</v>
      </c>
      <c r="G246" s="3" t="str">
        <f t="shared" si="23"/>
        <v>Wed</v>
      </c>
      <c r="H246" s="1" t="s">
        <v>153</v>
      </c>
      <c r="I246" s="1" t="s">
        <v>149</v>
      </c>
      <c r="J246" s="1" t="s">
        <v>126</v>
      </c>
      <c r="K246" s="1" t="str">
        <f>_xlfn.XLOOKUP($J246, items_clean!$A:$A, items_clean!$B:$B, "")</f>
        <v>CDR-CMO-MD</v>
      </c>
      <c r="L246" s="1" t="str">
        <f>_xlfn.XLOOKUP($J246, items_clean!$A:$A, items_clean!$C:$C, "")</f>
        <v>Cold Mocha</v>
      </c>
      <c r="M246" s="1" t="str">
        <f>_xlfn.XLOOKUP($J246, items_clean!$A:$A, items_clean!$D:$D, "")</f>
        <v>Cold Drinks</v>
      </c>
      <c r="N246" s="1" t="str">
        <f>_xlfn.XLOOKUP($J246, items_clean!$A:$A, items_clean!$E:$E, "")</f>
        <v>Medium</v>
      </c>
      <c r="O246" s="3">
        <v>1</v>
      </c>
      <c r="P246" s="2">
        <f>_xlfn.XLOOKUP($J246, items_clean!$A:$A, items_clean!$F:$F, "")</f>
        <v>4</v>
      </c>
      <c r="Q246" s="2">
        <f t="shared" si="24"/>
        <v>4</v>
      </c>
      <c r="R246" s="7">
        <f>_xlfn.XLOOKUP(K246, recipe_cost!$A:$A, recipe_cost!$B:$B, "")</f>
        <v>0.4098</v>
      </c>
      <c r="S246" s="10">
        <f t="shared" si="25"/>
        <v>0.4098</v>
      </c>
      <c r="T246" s="10">
        <f t="shared" si="26"/>
        <v>3.5901999999999998</v>
      </c>
      <c r="U246" s="9">
        <f t="shared" si="27"/>
        <v>0.89754999999999996</v>
      </c>
    </row>
    <row r="247" spans="1:21" x14ac:dyDescent="0.3">
      <c r="A247" s="1">
        <v>246</v>
      </c>
      <c r="B247" s="1" t="s">
        <v>389</v>
      </c>
      <c r="C247" s="4">
        <v>45336.703472222223</v>
      </c>
      <c r="D247" s="5">
        <f t="shared" si="21"/>
        <v>45336</v>
      </c>
      <c r="E247" s="3">
        <f t="shared" si="22"/>
        <v>16</v>
      </c>
      <c r="F247" s="1" t="str" cm="1">
        <f t="array" ref="F247">_xlfn.IFS(
E247&lt;11,"Morning",
E247&lt;15,"Afternoon",
TRUE,"Evening"
)</f>
        <v>Evening</v>
      </c>
      <c r="G247" s="3" t="str">
        <f t="shared" si="23"/>
        <v>Wed</v>
      </c>
      <c r="H247" s="1" t="s">
        <v>155</v>
      </c>
      <c r="I247" s="1" t="s">
        <v>146</v>
      </c>
      <c r="J247" s="1" t="s">
        <v>113</v>
      </c>
      <c r="K247" s="1" t="str">
        <f>_xlfn.XLOOKUP($J247, items_clean!$A:$A, items_clean!$B:$B, "")</f>
        <v>HDR-MOC-MD</v>
      </c>
      <c r="L247" s="1" t="str">
        <f>_xlfn.XLOOKUP($J247, items_clean!$A:$A, items_clean!$C:$C, "")</f>
        <v>Mocha</v>
      </c>
      <c r="M247" s="1" t="str">
        <f>_xlfn.XLOOKUP($J247, items_clean!$A:$A, items_clean!$D:$D, "")</f>
        <v>Hot Drinks</v>
      </c>
      <c r="N247" s="1" t="str">
        <f>_xlfn.XLOOKUP($J247, items_clean!$A:$A, items_clean!$E:$E, "")</f>
        <v>Medium</v>
      </c>
      <c r="O247" s="3">
        <v>1</v>
      </c>
      <c r="P247" s="2">
        <f>_xlfn.XLOOKUP($J247, items_clean!$A:$A, items_clean!$F:$F, "")</f>
        <v>4</v>
      </c>
      <c r="Q247" s="2">
        <f t="shared" si="24"/>
        <v>4</v>
      </c>
      <c r="R247" s="7">
        <f>_xlfn.XLOOKUP(K247, recipe_cost!$A:$A, recipe_cost!$B:$B, "")</f>
        <v>0.4098</v>
      </c>
      <c r="S247" s="10">
        <f t="shared" si="25"/>
        <v>0.4098</v>
      </c>
      <c r="T247" s="10">
        <f t="shared" si="26"/>
        <v>3.5901999999999998</v>
      </c>
      <c r="U247" s="9">
        <f t="shared" si="27"/>
        <v>0.89754999999999996</v>
      </c>
    </row>
    <row r="248" spans="1:21" x14ac:dyDescent="0.3">
      <c r="A248" s="1">
        <v>247</v>
      </c>
      <c r="B248" s="1" t="s">
        <v>391</v>
      </c>
      <c r="C248" s="4">
        <v>45337.293055555558</v>
      </c>
      <c r="D248" s="5">
        <f t="shared" si="21"/>
        <v>45337</v>
      </c>
      <c r="E248" s="3">
        <f t="shared" si="22"/>
        <v>7</v>
      </c>
      <c r="F248" s="1" t="str" cm="1">
        <f t="array" ref="F248">_xlfn.IFS(
E248&lt;11,"Morning",
E248&lt;15,"Afternoon",
TRUE,"Evening"
)</f>
        <v>Morning</v>
      </c>
      <c r="G248" s="3" t="str">
        <f t="shared" si="23"/>
        <v>Thu</v>
      </c>
      <c r="H248" s="1" t="s">
        <v>251</v>
      </c>
      <c r="I248" s="1" t="s">
        <v>146</v>
      </c>
      <c r="J248" s="1" t="s">
        <v>102</v>
      </c>
      <c r="K248" s="1" t="str">
        <f>_xlfn.XLOOKUP($J248, items_clean!$A:$A, items_clean!$B:$B, "")</f>
        <v>HDR-LAT-MD</v>
      </c>
      <c r="L248" s="1" t="str">
        <f>_xlfn.XLOOKUP($J248, items_clean!$A:$A, items_clean!$C:$C, "")</f>
        <v>Latte</v>
      </c>
      <c r="M248" s="1" t="str">
        <f>_xlfn.XLOOKUP($J248, items_clean!$A:$A, items_clean!$D:$D, "")</f>
        <v>Hot Drinks</v>
      </c>
      <c r="N248" s="1" t="str">
        <f>_xlfn.XLOOKUP($J248, items_clean!$A:$A, items_clean!$E:$E, "")</f>
        <v>Medium</v>
      </c>
      <c r="O248" s="3">
        <v>1</v>
      </c>
      <c r="P248" s="2">
        <f>_xlfn.XLOOKUP($J248, items_clean!$A:$A, items_clean!$F:$F, "")</f>
        <v>3.45</v>
      </c>
      <c r="Q248" s="2">
        <f t="shared" si="24"/>
        <v>3.45</v>
      </c>
      <c r="R248" s="7">
        <f>_xlfn.XLOOKUP(K248, recipe_cost!$A:$A, recipe_cost!$B:$B, "")</f>
        <v>0.252</v>
      </c>
      <c r="S248" s="10">
        <f t="shared" si="25"/>
        <v>0.252</v>
      </c>
      <c r="T248" s="10">
        <f t="shared" si="26"/>
        <v>3.1980000000000004</v>
      </c>
      <c r="U248" s="9">
        <f t="shared" si="27"/>
        <v>0.92695652173913046</v>
      </c>
    </row>
    <row r="249" spans="1:21" x14ac:dyDescent="0.3">
      <c r="A249" s="1">
        <v>248</v>
      </c>
      <c r="B249" s="1" t="s">
        <v>392</v>
      </c>
      <c r="C249" s="4">
        <v>45337.29791666667</v>
      </c>
      <c r="D249" s="5">
        <f t="shared" si="21"/>
        <v>45337</v>
      </c>
      <c r="E249" s="3">
        <f t="shared" si="22"/>
        <v>7</v>
      </c>
      <c r="F249" s="1" t="str" cm="1">
        <f t="array" ref="F249">_xlfn.IFS(
E249&lt;11,"Morning",
E249&lt;15,"Afternoon",
TRUE,"Evening"
)</f>
        <v>Morning</v>
      </c>
      <c r="G249" s="3" t="str">
        <f t="shared" si="23"/>
        <v>Thu</v>
      </c>
      <c r="H249" s="1" t="s">
        <v>393</v>
      </c>
      <c r="I249" s="1" t="s">
        <v>149</v>
      </c>
      <c r="J249" s="1" t="s">
        <v>126</v>
      </c>
      <c r="K249" s="1" t="str">
        <f>_xlfn.XLOOKUP($J249, items_clean!$A:$A, items_clean!$B:$B, "")</f>
        <v>CDR-CMO-MD</v>
      </c>
      <c r="L249" s="1" t="str">
        <f>_xlfn.XLOOKUP($J249, items_clean!$A:$A, items_clean!$C:$C, "")</f>
        <v>Cold Mocha</v>
      </c>
      <c r="M249" s="1" t="str">
        <f>_xlfn.XLOOKUP($J249, items_clean!$A:$A, items_clean!$D:$D, "")</f>
        <v>Cold Drinks</v>
      </c>
      <c r="N249" s="1" t="str">
        <f>_xlfn.XLOOKUP($J249, items_clean!$A:$A, items_clean!$E:$E, "")</f>
        <v>Medium</v>
      </c>
      <c r="O249" s="3">
        <v>1</v>
      </c>
      <c r="P249" s="2">
        <f>_xlfn.XLOOKUP($J249, items_clean!$A:$A, items_clean!$F:$F, "")</f>
        <v>4</v>
      </c>
      <c r="Q249" s="2">
        <f t="shared" si="24"/>
        <v>4</v>
      </c>
      <c r="R249" s="7">
        <f>_xlfn.XLOOKUP(K249, recipe_cost!$A:$A, recipe_cost!$B:$B, "")</f>
        <v>0.4098</v>
      </c>
      <c r="S249" s="10">
        <f t="shared" si="25"/>
        <v>0.4098</v>
      </c>
      <c r="T249" s="10">
        <f t="shared" si="26"/>
        <v>3.5901999999999998</v>
      </c>
      <c r="U249" s="9">
        <f t="shared" si="27"/>
        <v>0.89754999999999996</v>
      </c>
    </row>
    <row r="250" spans="1:21" x14ac:dyDescent="0.3">
      <c r="A250" s="1">
        <v>249</v>
      </c>
      <c r="B250" s="1" t="s">
        <v>392</v>
      </c>
      <c r="C250" s="4">
        <v>45337.29791666667</v>
      </c>
      <c r="D250" s="5">
        <f t="shared" si="21"/>
        <v>45337</v>
      </c>
      <c r="E250" s="3">
        <f t="shared" si="22"/>
        <v>7</v>
      </c>
      <c r="F250" s="1" t="str" cm="1">
        <f t="array" ref="F250">_xlfn.IFS(
E250&lt;11,"Morning",
E250&lt;15,"Afternoon",
TRUE,"Evening"
)</f>
        <v>Morning</v>
      </c>
      <c r="G250" s="3" t="str">
        <f t="shared" si="23"/>
        <v>Thu</v>
      </c>
      <c r="H250" s="1" t="s">
        <v>393</v>
      </c>
      <c r="I250" s="1" t="s">
        <v>778</v>
      </c>
      <c r="J250" s="1" t="s">
        <v>132</v>
      </c>
      <c r="K250" s="1" t="str">
        <f>_xlfn.XLOOKUP($J250, items_clean!$A:$A, items_clean!$B:$B, "")</f>
        <v>CDR-LMN-MD</v>
      </c>
      <c r="L250" s="1" t="str">
        <f>_xlfn.XLOOKUP($J250, items_clean!$A:$A, items_clean!$C:$C, "")</f>
        <v>Lemonade</v>
      </c>
      <c r="M250" s="1" t="str">
        <f>_xlfn.XLOOKUP($J250, items_clean!$A:$A, items_clean!$D:$D, "")</f>
        <v>Cold Drinks</v>
      </c>
      <c r="N250" s="1" t="str">
        <f>_xlfn.XLOOKUP($J250, items_clean!$A:$A, items_clean!$E:$E, "")</f>
        <v>Medium</v>
      </c>
      <c r="O250" s="3">
        <v>1</v>
      </c>
      <c r="P250" s="2">
        <f>_xlfn.XLOOKUP($J250, items_clean!$A:$A, items_clean!$F:$F, "")</f>
        <v>3.35</v>
      </c>
      <c r="Q250" s="2">
        <f t="shared" si="24"/>
        <v>3.35</v>
      </c>
      <c r="R250" s="7">
        <f>_xlfn.XLOOKUP(K250, recipe_cost!$A:$A, recipe_cost!$B:$B, "")</f>
        <v>0.34499999999999997</v>
      </c>
      <c r="S250" s="10">
        <f t="shared" si="25"/>
        <v>0.34499999999999997</v>
      </c>
      <c r="T250" s="10">
        <f t="shared" si="26"/>
        <v>3.0049999999999999</v>
      </c>
      <c r="U250" s="9">
        <f t="shared" si="27"/>
        <v>0.89701492537313432</v>
      </c>
    </row>
    <row r="251" spans="1:21" x14ac:dyDescent="0.3">
      <c r="A251" s="1">
        <v>250</v>
      </c>
      <c r="B251" s="1" t="s">
        <v>394</v>
      </c>
      <c r="C251" s="4">
        <v>45337.302777777775</v>
      </c>
      <c r="D251" s="5">
        <f t="shared" si="21"/>
        <v>45337</v>
      </c>
      <c r="E251" s="3">
        <f t="shared" si="22"/>
        <v>7</v>
      </c>
      <c r="F251" s="1" t="str" cm="1">
        <f t="array" ref="F251">_xlfn.IFS(
E251&lt;11,"Morning",
E251&lt;15,"Afternoon",
TRUE,"Evening"
)</f>
        <v>Morning</v>
      </c>
      <c r="G251" s="3" t="str">
        <f t="shared" si="23"/>
        <v>Thu</v>
      </c>
      <c r="H251" s="1" t="s">
        <v>395</v>
      </c>
      <c r="I251" s="1" t="s">
        <v>146</v>
      </c>
      <c r="J251" s="1" t="s">
        <v>108</v>
      </c>
      <c r="K251" s="1" t="str">
        <f>_xlfn.XLOOKUP($J251, items_clean!$A:$A, items_clean!$B:$B, "")</f>
        <v>HDR-CRM-MD</v>
      </c>
      <c r="L251" s="1" t="str">
        <f>_xlfn.XLOOKUP($J251, items_clean!$A:$A, items_clean!$C:$C, "")</f>
        <v>Caramel Macchiato</v>
      </c>
      <c r="M251" s="1" t="str">
        <f>_xlfn.XLOOKUP($J251, items_clean!$A:$A, items_clean!$D:$D, "")</f>
        <v>Hot Drinks</v>
      </c>
      <c r="N251" s="1" t="str">
        <f>_xlfn.XLOOKUP($J251, items_clean!$A:$A, items_clean!$E:$E, "")</f>
        <v>Medium</v>
      </c>
      <c r="O251" s="3">
        <v>1</v>
      </c>
      <c r="P251" s="2">
        <f>_xlfn.XLOOKUP($J251, items_clean!$A:$A, items_clean!$F:$F, "")</f>
        <v>4.2</v>
      </c>
      <c r="Q251" s="2">
        <f t="shared" si="24"/>
        <v>4.2</v>
      </c>
      <c r="R251" s="7">
        <f>_xlfn.XLOOKUP(K251, recipe_cost!$A:$A, recipe_cost!$B:$B, "")</f>
        <v>0.4098</v>
      </c>
      <c r="S251" s="10">
        <f t="shared" si="25"/>
        <v>0.4098</v>
      </c>
      <c r="T251" s="10">
        <f t="shared" si="26"/>
        <v>3.7902</v>
      </c>
      <c r="U251" s="9">
        <f t="shared" si="27"/>
        <v>0.90242857142857136</v>
      </c>
    </row>
    <row r="252" spans="1:21" x14ac:dyDescent="0.3">
      <c r="A252" s="1">
        <v>251</v>
      </c>
      <c r="B252" s="1" t="s">
        <v>398</v>
      </c>
      <c r="C252" s="4">
        <v>45337.3125</v>
      </c>
      <c r="D252" s="5">
        <f t="shared" si="21"/>
        <v>45337</v>
      </c>
      <c r="E252" s="3">
        <f t="shared" si="22"/>
        <v>7</v>
      </c>
      <c r="F252" s="1" t="str" cm="1">
        <f t="array" ref="F252">_xlfn.IFS(
E252&lt;11,"Morning",
E252&lt;15,"Afternoon",
TRUE,"Evening"
)</f>
        <v>Morning</v>
      </c>
      <c r="G252" s="3" t="str">
        <f t="shared" si="23"/>
        <v>Thu</v>
      </c>
      <c r="H252" s="1" t="s">
        <v>399</v>
      </c>
      <c r="I252" s="1" t="s">
        <v>146</v>
      </c>
      <c r="J252" s="1" t="s">
        <v>116</v>
      </c>
      <c r="K252" s="1" t="str">
        <f>_xlfn.XLOOKUP($J252, items_clean!$A:$A, items_clean!$B:$B, "")</f>
        <v>HDR-WMO-MD</v>
      </c>
      <c r="L252" s="1" t="str">
        <f>_xlfn.XLOOKUP($J252, items_clean!$A:$A, items_clean!$C:$C, "")</f>
        <v>White Mocha</v>
      </c>
      <c r="M252" s="1" t="str">
        <f>_xlfn.XLOOKUP($J252, items_clean!$A:$A, items_clean!$D:$D, "")</f>
        <v>Hot Drinks</v>
      </c>
      <c r="N252" s="1" t="str">
        <f>_xlfn.XLOOKUP($J252, items_clean!$A:$A, items_clean!$E:$E, "")</f>
        <v>Medium</v>
      </c>
      <c r="O252" s="3">
        <v>1</v>
      </c>
      <c r="P252" s="2">
        <f>_xlfn.XLOOKUP($J252, items_clean!$A:$A, items_clean!$F:$F, "")</f>
        <v>4.5</v>
      </c>
      <c r="Q252" s="2">
        <f t="shared" si="24"/>
        <v>4.5</v>
      </c>
      <c r="R252" s="7">
        <f>_xlfn.XLOOKUP(K252, recipe_cost!$A:$A, recipe_cost!$B:$B, "")</f>
        <v>0.4098</v>
      </c>
      <c r="S252" s="10">
        <f t="shared" si="25"/>
        <v>0.4098</v>
      </c>
      <c r="T252" s="10">
        <f t="shared" si="26"/>
        <v>4.0902000000000003</v>
      </c>
      <c r="U252" s="9">
        <f t="shared" si="27"/>
        <v>0.90893333333333337</v>
      </c>
    </row>
    <row r="253" spans="1:21" x14ac:dyDescent="0.3">
      <c r="A253" s="1">
        <v>252</v>
      </c>
      <c r="B253" s="1" t="s">
        <v>398</v>
      </c>
      <c r="C253" s="4">
        <v>45337.3125</v>
      </c>
      <c r="D253" s="5">
        <f t="shared" si="21"/>
        <v>45337</v>
      </c>
      <c r="E253" s="3">
        <f t="shared" si="22"/>
        <v>7</v>
      </c>
      <c r="F253" s="1" t="str" cm="1">
        <f t="array" ref="F253">_xlfn.IFS(
E253&lt;11,"Morning",
E253&lt;15,"Afternoon",
TRUE,"Evening"
)</f>
        <v>Morning</v>
      </c>
      <c r="G253" s="3" t="str">
        <f t="shared" si="23"/>
        <v>Thu</v>
      </c>
      <c r="H253" s="1" t="s">
        <v>399</v>
      </c>
      <c r="I253" s="1" t="s">
        <v>778</v>
      </c>
      <c r="J253" s="1" t="s">
        <v>121</v>
      </c>
      <c r="K253" s="1" t="str">
        <f>_xlfn.XLOOKUP($J253, items_clean!$A:$A, items_clean!$B:$B, "")</f>
        <v>HDR-HCH-LG</v>
      </c>
      <c r="L253" s="1" t="str">
        <f>_xlfn.XLOOKUP($J253, items_clean!$A:$A, items_clean!$C:$C, "")</f>
        <v>Hot Chocolate</v>
      </c>
      <c r="M253" s="1" t="str">
        <f>_xlfn.XLOOKUP($J253, items_clean!$A:$A, items_clean!$D:$D, "")</f>
        <v>Hot Drinks</v>
      </c>
      <c r="N253" s="1" t="str">
        <f>_xlfn.XLOOKUP($J253, items_clean!$A:$A, items_clean!$E:$E, "")</f>
        <v>Large</v>
      </c>
      <c r="O253" s="3">
        <v>1</v>
      </c>
      <c r="P253" s="2">
        <f>_xlfn.XLOOKUP($J253, items_clean!$A:$A, items_clean!$F:$F, "")</f>
        <v>4.5999999999999996</v>
      </c>
      <c r="Q253" s="2">
        <f t="shared" si="24"/>
        <v>4.5999999999999996</v>
      </c>
      <c r="R253" s="7">
        <f>_xlfn.XLOOKUP(K253, recipe_cost!$A:$A, recipe_cost!$B:$B, "")</f>
        <v>1.4809999999999999</v>
      </c>
      <c r="S253" s="10">
        <f t="shared" si="25"/>
        <v>1.4809999999999999</v>
      </c>
      <c r="T253" s="10">
        <f t="shared" si="26"/>
        <v>3.1189999999999998</v>
      </c>
      <c r="U253" s="9">
        <f t="shared" si="27"/>
        <v>0.67804347826086953</v>
      </c>
    </row>
    <row r="254" spans="1:21" x14ac:dyDescent="0.3">
      <c r="A254" s="1">
        <v>253</v>
      </c>
      <c r="B254" s="1" t="s">
        <v>400</v>
      </c>
      <c r="C254" s="4">
        <v>45337.317361111112</v>
      </c>
      <c r="D254" s="5">
        <f t="shared" si="21"/>
        <v>45337</v>
      </c>
      <c r="E254" s="3">
        <f t="shared" si="22"/>
        <v>7</v>
      </c>
      <c r="F254" s="1" t="str" cm="1">
        <f t="array" ref="F254">_xlfn.IFS(
E254&lt;11,"Morning",
E254&lt;15,"Afternoon",
TRUE,"Evening"
)</f>
        <v>Morning</v>
      </c>
      <c r="G254" s="3" t="str">
        <f t="shared" si="23"/>
        <v>Thu</v>
      </c>
      <c r="H254" s="1" t="s">
        <v>401</v>
      </c>
      <c r="I254" s="1" t="s">
        <v>149</v>
      </c>
      <c r="J254" s="1" t="s">
        <v>96</v>
      </c>
      <c r="K254" s="1" t="str">
        <f>_xlfn.XLOOKUP($J254, items_clean!$A:$A, items_clean!$B:$B, "")</f>
        <v>HDR-CAP-MD</v>
      </c>
      <c r="L254" s="1" t="str">
        <f>_xlfn.XLOOKUP($J254, items_clean!$A:$A, items_clean!$C:$C, "")</f>
        <v>Cappuccino</v>
      </c>
      <c r="M254" s="1" t="str">
        <f>_xlfn.XLOOKUP($J254, items_clean!$A:$A, items_clean!$D:$D, "")</f>
        <v>Hot Drinks</v>
      </c>
      <c r="N254" s="1" t="str">
        <f>_xlfn.XLOOKUP($J254, items_clean!$A:$A, items_clean!$E:$E, "")</f>
        <v>Medium</v>
      </c>
      <c r="O254" s="3">
        <v>1</v>
      </c>
      <c r="P254" s="2">
        <f>_xlfn.XLOOKUP($J254, items_clean!$A:$A, items_clean!$F:$F, "")</f>
        <v>3.45</v>
      </c>
      <c r="Q254" s="2">
        <f t="shared" si="24"/>
        <v>3.45</v>
      </c>
      <c r="R254" s="7">
        <f>_xlfn.XLOOKUP(K254, recipe_cost!$A:$A, recipe_cost!$B:$B, "")</f>
        <v>0.252</v>
      </c>
      <c r="S254" s="10">
        <f t="shared" si="25"/>
        <v>0.252</v>
      </c>
      <c r="T254" s="10">
        <f t="shared" si="26"/>
        <v>3.1980000000000004</v>
      </c>
      <c r="U254" s="9">
        <f t="shared" si="27"/>
        <v>0.92695652173913046</v>
      </c>
    </row>
    <row r="255" spans="1:21" x14ac:dyDescent="0.3">
      <c r="A255" s="1">
        <v>254</v>
      </c>
      <c r="B255" s="1" t="s">
        <v>402</v>
      </c>
      <c r="C255" s="4">
        <v>45337.322222222225</v>
      </c>
      <c r="D255" s="5">
        <f t="shared" si="21"/>
        <v>45337</v>
      </c>
      <c r="E255" s="3">
        <f t="shared" si="22"/>
        <v>7</v>
      </c>
      <c r="F255" s="1" t="str" cm="1">
        <f t="array" ref="F255">_xlfn.IFS(
E255&lt;11,"Morning",
E255&lt;15,"Afternoon",
TRUE,"Evening"
)</f>
        <v>Morning</v>
      </c>
      <c r="G255" s="3" t="str">
        <f t="shared" si="23"/>
        <v>Thu</v>
      </c>
      <c r="H255" s="1" t="s">
        <v>403</v>
      </c>
      <c r="I255" s="1" t="s">
        <v>146</v>
      </c>
      <c r="J255" s="1" t="s">
        <v>129</v>
      </c>
      <c r="K255" s="1" t="str">
        <f>_xlfn.XLOOKUP($J255, items_clean!$A:$A, items_clean!$B:$B, "")</f>
        <v>CDR-ICT-MD</v>
      </c>
      <c r="L255" s="1" t="str">
        <f>_xlfn.XLOOKUP($J255, items_clean!$A:$A, items_clean!$C:$C, "")</f>
        <v>Iced Tea</v>
      </c>
      <c r="M255" s="1" t="str">
        <f>_xlfn.XLOOKUP($J255, items_clean!$A:$A, items_clean!$D:$D, "")</f>
        <v>Cold Drinks</v>
      </c>
      <c r="N255" s="1" t="str">
        <f>_xlfn.XLOOKUP($J255, items_clean!$A:$A, items_clean!$E:$E, "")</f>
        <v>Medium</v>
      </c>
      <c r="O255" s="3">
        <v>1</v>
      </c>
      <c r="P255" s="2">
        <f>_xlfn.XLOOKUP($J255, items_clean!$A:$A, items_clean!$F:$F, "")</f>
        <v>3.25</v>
      </c>
      <c r="Q255" s="2">
        <f t="shared" si="24"/>
        <v>3.25</v>
      </c>
      <c r="R255" s="7">
        <f>_xlfn.XLOOKUP(K255, recipe_cost!$A:$A, recipe_cost!$B:$B, "")</f>
        <v>0.19</v>
      </c>
      <c r="S255" s="10">
        <f t="shared" si="25"/>
        <v>0.19</v>
      </c>
      <c r="T255" s="10">
        <f t="shared" si="26"/>
        <v>3.06</v>
      </c>
      <c r="U255" s="9">
        <f t="shared" si="27"/>
        <v>0.94153846153846155</v>
      </c>
    </row>
    <row r="256" spans="1:21" x14ac:dyDescent="0.3">
      <c r="A256" s="1">
        <v>255</v>
      </c>
      <c r="B256" s="1" t="s">
        <v>404</v>
      </c>
      <c r="C256" s="4">
        <v>45337.327777777777</v>
      </c>
      <c r="D256" s="5">
        <f t="shared" si="21"/>
        <v>45337</v>
      </c>
      <c r="E256" s="3">
        <f t="shared" si="22"/>
        <v>7</v>
      </c>
      <c r="F256" s="1" t="str" cm="1">
        <f t="array" ref="F256">_xlfn.IFS(
E256&lt;11,"Morning",
E256&lt;15,"Afternoon",
TRUE,"Evening"
)</f>
        <v>Morning</v>
      </c>
      <c r="G256" s="3" t="str">
        <f t="shared" si="23"/>
        <v>Thu</v>
      </c>
      <c r="H256" s="1" t="s">
        <v>405</v>
      </c>
      <c r="I256" s="1" t="s">
        <v>149</v>
      </c>
      <c r="J256" s="1" t="s">
        <v>138</v>
      </c>
      <c r="K256" s="1" t="str">
        <f>_xlfn.XLOOKUP($J256, items_clean!$A:$A, items_clean!$B:$B, "")</f>
        <v>SNK-SSM</v>
      </c>
      <c r="L256" s="1" t="str">
        <f>_xlfn.XLOOKUP($J256, items_clean!$A:$A, items_clean!$C:$C, "")</f>
        <v>Sandwich Salami&amp;Mozzarella</v>
      </c>
      <c r="M256" s="1" t="str">
        <f>_xlfn.XLOOKUP($J256, items_clean!$A:$A, items_clean!$D:$D, "")</f>
        <v>Snacks</v>
      </c>
      <c r="N256" s="1" t="str">
        <f>_xlfn.XLOOKUP($J256, items_clean!$A:$A, items_clean!$E:$E, "")</f>
        <v>N/A</v>
      </c>
      <c r="O256" s="3">
        <v>1</v>
      </c>
      <c r="P256" s="2">
        <f>_xlfn.XLOOKUP($J256, items_clean!$A:$A, items_clean!$F:$F, "")</f>
        <v>5.5</v>
      </c>
      <c r="Q256" s="2">
        <f t="shared" si="24"/>
        <v>5.5</v>
      </c>
      <c r="R256" s="7">
        <f>_xlfn.XLOOKUP(K256, recipe_cost!$A:$A, recipe_cost!$B:$B, "")</f>
        <v>1.3120000000000001</v>
      </c>
      <c r="S256" s="10">
        <f t="shared" si="25"/>
        <v>1.3120000000000001</v>
      </c>
      <c r="T256" s="10">
        <f t="shared" si="26"/>
        <v>4.1879999999999997</v>
      </c>
      <c r="U256" s="9">
        <f t="shared" si="27"/>
        <v>0.76145454545454538</v>
      </c>
    </row>
    <row r="257" spans="1:21" x14ac:dyDescent="0.3">
      <c r="A257" s="1">
        <v>256</v>
      </c>
      <c r="B257" s="1" t="s">
        <v>406</v>
      </c>
      <c r="C257" s="4">
        <v>45337.332638888889</v>
      </c>
      <c r="D257" s="5">
        <f t="shared" si="21"/>
        <v>45337</v>
      </c>
      <c r="E257" s="3">
        <f t="shared" si="22"/>
        <v>7</v>
      </c>
      <c r="F257" s="1" t="str" cm="1">
        <f t="array" ref="F257">_xlfn.IFS(
E257&lt;11,"Morning",
E257&lt;15,"Afternoon",
TRUE,"Evening"
)</f>
        <v>Morning</v>
      </c>
      <c r="G257" s="3" t="str">
        <f t="shared" si="23"/>
        <v>Thu</v>
      </c>
      <c r="H257" s="1" t="s">
        <v>407</v>
      </c>
      <c r="I257" s="1" t="s">
        <v>146</v>
      </c>
      <c r="J257" s="1" t="s">
        <v>105</v>
      </c>
      <c r="K257" s="1" t="str">
        <f>_xlfn.XLOOKUP($J257, items_clean!$A:$A, items_clean!$B:$B, "")</f>
        <v>HDR-FLT</v>
      </c>
      <c r="L257" s="1" t="str">
        <f>_xlfn.XLOOKUP($J257, items_clean!$A:$A, items_clean!$C:$C, "")</f>
        <v>Flat White</v>
      </c>
      <c r="M257" s="1" t="str">
        <f>_xlfn.XLOOKUP($J257, items_clean!$A:$A, items_clean!$D:$D, "")</f>
        <v>Hot Drinks</v>
      </c>
      <c r="N257" s="1" t="str">
        <f>_xlfn.XLOOKUP($J257, items_clean!$A:$A, items_clean!$E:$E, "")</f>
        <v>N/A</v>
      </c>
      <c r="O257" s="3">
        <v>1</v>
      </c>
      <c r="P257" s="2">
        <f>_xlfn.XLOOKUP($J257, items_clean!$A:$A, items_clean!$F:$F, "")</f>
        <v>3.15</v>
      </c>
      <c r="Q257" s="2">
        <f t="shared" si="24"/>
        <v>3.15</v>
      </c>
      <c r="R257" s="7">
        <f>_xlfn.XLOOKUP(K257, recipe_cost!$A:$A, recipe_cost!$B:$B, "")</f>
        <v>0.28799999999999998</v>
      </c>
      <c r="S257" s="10">
        <f t="shared" si="25"/>
        <v>0.28799999999999998</v>
      </c>
      <c r="T257" s="10">
        <f t="shared" si="26"/>
        <v>2.8620000000000001</v>
      </c>
      <c r="U257" s="9">
        <f t="shared" si="27"/>
        <v>0.90857142857142859</v>
      </c>
    </row>
    <row r="258" spans="1:21" x14ac:dyDescent="0.3">
      <c r="A258" s="1">
        <v>257</v>
      </c>
      <c r="B258" s="1" t="s">
        <v>406</v>
      </c>
      <c r="C258" s="4">
        <v>45337.332638888889</v>
      </c>
      <c r="D258" s="5">
        <f t="shared" si="21"/>
        <v>45337</v>
      </c>
      <c r="E258" s="3">
        <f t="shared" si="22"/>
        <v>7</v>
      </c>
      <c r="F258" s="1" t="str" cm="1">
        <f t="array" ref="F258">_xlfn.IFS(
E258&lt;11,"Morning",
E258&lt;15,"Afternoon",
TRUE,"Evening"
)</f>
        <v>Morning</v>
      </c>
      <c r="G258" s="3" t="str">
        <f t="shared" si="23"/>
        <v>Thu</v>
      </c>
      <c r="H258" s="1" t="s">
        <v>407</v>
      </c>
      <c r="I258" s="1" t="s">
        <v>778</v>
      </c>
      <c r="J258" s="1" t="s">
        <v>111</v>
      </c>
      <c r="K258" s="1" t="str">
        <f>_xlfn.XLOOKUP($J258, items_clean!$A:$A, items_clean!$B:$B, "")</f>
        <v>HDR-ESP</v>
      </c>
      <c r="L258" s="1" t="str">
        <f>_xlfn.XLOOKUP($J258, items_clean!$A:$A, items_clean!$C:$C, "")</f>
        <v>Espresso</v>
      </c>
      <c r="M258" s="1" t="str">
        <f>_xlfn.XLOOKUP($J258, items_clean!$A:$A, items_clean!$D:$D, "")</f>
        <v>Hot Drinks</v>
      </c>
      <c r="N258" s="1" t="str">
        <f>_xlfn.XLOOKUP($J258, items_clean!$A:$A, items_clean!$E:$E, "")</f>
        <v>N/A</v>
      </c>
      <c r="O258" s="3">
        <v>1</v>
      </c>
      <c r="P258" s="2">
        <f>_xlfn.XLOOKUP($J258, items_clean!$A:$A, items_clean!$F:$F, "")</f>
        <v>2.15</v>
      </c>
      <c r="Q258" s="2">
        <f t="shared" si="24"/>
        <v>2.15</v>
      </c>
      <c r="R258" s="7">
        <f>_xlfn.XLOOKUP(K258, recipe_cost!$A:$A, recipe_cost!$B:$B, "")</f>
        <v>9.6000000000000002E-2</v>
      </c>
      <c r="S258" s="10">
        <f t="shared" si="25"/>
        <v>9.6000000000000002E-2</v>
      </c>
      <c r="T258" s="10">
        <f t="shared" si="26"/>
        <v>2.0539999999999998</v>
      </c>
      <c r="U258" s="9">
        <f t="shared" si="27"/>
        <v>0.9553488372093023</v>
      </c>
    </row>
    <row r="259" spans="1:21" x14ac:dyDescent="0.3">
      <c r="A259" s="1">
        <v>258</v>
      </c>
      <c r="B259" s="1" t="s">
        <v>408</v>
      </c>
      <c r="C259" s="4">
        <v>45337.337500000001</v>
      </c>
      <c r="D259" s="5">
        <f t="shared" ref="D259:D322" si="28">INT(C259)</f>
        <v>45337</v>
      </c>
      <c r="E259" s="3">
        <f t="shared" ref="E259:E322" si="29">HOUR(C259)</f>
        <v>8</v>
      </c>
      <c r="F259" s="1" t="str" cm="1">
        <f t="array" ref="F259">_xlfn.IFS(
E259&lt;11,"Morning",
E259&lt;15,"Afternoon",
TRUE,"Evening"
)</f>
        <v>Morning</v>
      </c>
      <c r="G259" s="3" t="str">
        <f t="shared" ref="G259:G322" si="30">TEXT(C259,"ddd")</f>
        <v>Thu</v>
      </c>
      <c r="H259" s="1" t="s">
        <v>409</v>
      </c>
      <c r="I259" s="1" t="s">
        <v>149</v>
      </c>
      <c r="J259" s="1" t="s">
        <v>115</v>
      </c>
      <c r="K259" s="1" t="str">
        <f>_xlfn.XLOOKUP($J259, items_clean!$A:$A, items_clean!$B:$B, "")</f>
        <v>HDR-MOC-LG</v>
      </c>
      <c r="L259" s="1" t="str">
        <f>_xlfn.XLOOKUP($J259, items_clean!$A:$A, items_clean!$C:$C, "")</f>
        <v>Mocha</v>
      </c>
      <c r="M259" s="1" t="str">
        <f>_xlfn.XLOOKUP($J259, items_clean!$A:$A, items_clean!$D:$D, "")</f>
        <v>Hot Drinks</v>
      </c>
      <c r="N259" s="1" t="str">
        <f>_xlfn.XLOOKUP($J259, items_clean!$A:$A, items_clean!$E:$E, "")</f>
        <v>Large</v>
      </c>
      <c r="O259" s="3">
        <v>1</v>
      </c>
      <c r="P259" s="2">
        <f>_xlfn.XLOOKUP($J259, items_clean!$A:$A, items_clean!$F:$F, "")</f>
        <v>4.5999999999999996</v>
      </c>
      <c r="Q259" s="2">
        <f t="shared" ref="Q259:Q322" si="31">O259*P259</f>
        <v>4.5999999999999996</v>
      </c>
      <c r="R259" s="7">
        <f>_xlfn.XLOOKUP(K259, recipe_cost!$A:$A, recipe_cost!$B:$B, "")</f>
        <v>0.56669999999999998</v>
      </c>
      <c r="S259" s="10">
        <f t="shared" ref="S259:S322" si="32">O259 * R259</f>
        <v>0.56669999999999998</v>
      </c>
      <c r="T259" s="10">
        <f t="shared" ref="T259:T322" si="33">Q259-S259</f>
        <v>4.0332999999999997</v>
      </c>
      <c r="U259" s="9">
        <f t="shared" ref="U259:U322" si="34">IF(Q259=0,"",T259/Q259)</f>
        <v>0.87680434782608696</v>
      </c>
    </row>
    <row r="260" spans="1:21" x14ac:dyDescent="0.3">
      <c r="A260" s="1">
        <v>259</v>
      </c>
      <c r="B260" s="1" t="s">
        <v>410</v>
      </c>
      <c r="C260" s="4">
        <v>45337.342361111114</v>
      </c>
      <c r="D260" s="5">
        <f t="shared" si="28"/>
        <v>45337</v>
      </c>
      <c r="E260" s="3">
        <f t="shared" si="29"/>
        <v>8</v>
      </c>
      <c r="F260" s="1" t="str" cm="1">
        <f t="array" ref="F260">_xlfn.IFS(
E260&lt;11,"Morning",
E260&lt;15,"Afternoon",
TRUE,"Evening"
)</f>
        <v>Morning</v>
      </c>
      <c r="G260" s="3" t="str">
        <f t="shared" si="30"/>
        <v>Thu</v>
      </c>
      <c r="H260" s="1" t="s">
        <v>411</v>
      </c>
      <c r="I260" s="1" t="s">
        <v>146</v>
      </c>
      <c r="J260" s="1" t="s">
        <v>119</v>
      </c>
      <c r="K260" s="1" t="str">
        <f>_xlfn.XLOOKUP($J260, items_clean!$A:$A, items_clean!$B:$B, "")</f>
        <v>HDR-HCH-MD</v>
      </c>
      <c r="L260" s="1" t="str">
        <f>_xlfn.XLOOKUP($J260, items_clean!$A:$A, items_clean!$C:$C, "")</f>
        <v>Hot Chocolate</v>
      </c>
      <c r="M260" s="1" t="str">
        <f>_xlfn.XLOOKUP($J260, items_clean!$A:$A, items_clean!$D:$D, "")</f>
        <v>Hot Drinks</v>
      </c>
      <c r="N260" s="1" t="str">
        <f>_xlfn.XLOOKUP($J260, items_clean!$A:$A, items_clean!$E:$E, "")</f>
        <v>Medium</v>
      </c>
      <c r="O260" s="3">
        <v>1</v>
      </c>
      <c r="P260" s="2">
        <f>_xlfn.XLOOKUP($J260, items_clean!$A:$A, items_clean!$F:$F, "")</f>
        <v>4.2</v>
      </c>
      <c r="Q260" s="2">
        <f t="shared" si="31"/>
        <v>4.2</v>
      </c>
      <c r="R260" s="7">
        <f>_xlfn.XLOOKUP(K260, recipe_cost!$A:$A, recipe_cost!$B:$B, "")</f>
        <v>1.0509999999999999</v>
      </c>
      <c r="S260" s="10">
        <f t="shared" si="32"/>
        <v>1.0509999999999999</v>
      </c>
      <c r="T260" s="10">
        <f t="shared" si="33"/>
        <v>3.149</v>
      </c>
      <c r="U260" s="9">
        <f t="shared" si="34"/>
        <v>0.74976190476190474</v>
      </c>
    </row>
    <row r="261" spans="1:21" x14ac:dyDescent="0.3">
      <c r="A261" s="1">
        <v>260</v>
      </c>
      <c r="B261" s="1" t="s">
        <v>412</v>
      </c>
      <c r="C261" s="4">
        <v>45337.347222222219</v>
      </c>
      <c r="D261" s="5">
        <f t="shared" si="28"/>
        <v>45337</v>
      </c>
      <c r="E261" s="3">
        <f t="shared" si="29"/>
        <v>8</v>
      </c>
      <c r="F261" s="1" t="str" cm="1">
        <f t="array" ref="F261">_xlfn.IFS(
E261&lt;11,"Morning",
E261&lt;15,"Afternoon",
TRUE,"Evening"
)</f>
        <v>Morning</v>
      </c>
      <c r="G261" s="3" t="str">
        <f t="shared" si="30"/>
        <v>Thu</v>
      </c>
      <c r="H261" s="1" t="s">
        <v>413</v>
      </c>
      <c r="I261" s="1" t="s">
        <v>149</v>
      </c>
      <c r="J261" s="1" t="s">
        <v>125</v>
      </c>
      <c r="K261" s="1" t="str">
        <f>_xlfn.XLOOKUP($J261, items_clean!$A:$A, items_clean!$B:$B, "")</f>
        <v>CDR-CCF-LG</v>
      </c>
      <c r="L261" s="1" t="str">
        <f>_xlfn.XLOOKUP($J261, items_clean!$A:$A, items_clean!$C:$C, "")</f>
        <v>Cold Coffee</v>
      </c>
      <c r="M261" s="1" t="str">
        <f>_xlfn.XLOOKUP($J261, items_clean!$A:$A, items_clean!$D:$D, "")</f>
        <v>Cold Drinks</v>
      </c>
      <c r="N261" s="1" t="str">
        <f>_xlfn.XLOOKUP($J261, items_clean!$A:$A, items_clean!$E:$E, "")</f>
        <v>Large</v>
      </c>
      <c r="O261" s="3">
        <v>1</v>
      </c>
      <c r="P261" s="2">
        <f>_xlfn.XLOOKUP($J261, items_clean!$A:$A, items_clean!$F:$F, "")</f>
        <v>3.75</v>
      </c>
      <c r="Q261" s="2">
        <f t="shared" si="31"/>
        <v>3.75</v>
      </c>
      <c r="R261" s="7">
        <f>_xlfn.XLOOKUP(K261, recipe_cost!$A:$A, recipe_cost!$B:$B, "")</f>
        <v>0.33599999999999997</v>
      </c>
      <c r="S261" s="10">
        <f t="shared" si="32"/>
        <v>0.33599999999999997</v>
      </c>
      <c r="T261" s="10">
        <f t="shared" si="33"/>
        <v>3.4140000000000001</v>
      </c>
      <c r="U261" s="9">
        <f t="shared" si="34"/>
        <v>0.91039999999999999</v>
      </c>
    </row>
    <row r="262" spans="1:21" x14ac:dyDescent="0.3">
      <c r="A262" s="1">
        <v>261</v>
      </c>
      <c r="B262" s="1" t="s">
        <v>412</v>
      </c>
      <c r="C262" s="4">
        <v>45337.347222222219</v>
      </c>
      <c r="D262" s="5">
        <f t="shared" si="28"/>
        <v>45337</v>
      </c>
      <c r="E262" s="3">
        <f t="shared" si="29"/>
        <v>8</v>
      </c>
      <c r="F262" s="1" t="str" cm="1">
        <f t="array" ref="F262">_xlfn.IFS(
E262&lt;11,"Morning",
E262&lt;15,"Afternoon",
TRUE,"Evening"
)</f>
        <v>Morning</v>
      </c>
      <c r="G262" s="3" t="str">
        <f t="shared" si="30"/>
        <v>Thu</v>
      </c>
      <c r="H262" s="1" t="s">
        <v>413</v>
      </c>
      <c r="I262" s="1" t="s">
        <v>778</v>
      </c>
      <c r="J262" s="1" t="s">
        <v>134</v>
      </c>
      <c r="K262" s="1" t="str">
        <f>_xlfn.XLOOKUP($J262, items_clean!$A:$A, items_clean!$B:$B, "")</f>
        <v>CDR-LMN-LG</v>
      </c>
      <c r="L262" s="1" t="str">
        <f>_xlfn.XLOOKUP($J262, items_clean!$A:$A, items_clean!$C:$C, "")</f>
        <v>Lemonade</v>
      </c>
      <c r="M262" s="1" t="str">
        <f>_xlfn.XLOOKUP($J262, items_clean!$A:$A, items_clean!$D:$D, "")</f>
        <v>Cold Drinks</v>
      </c>
      <c r="N262" s="1" t="str">
        <f>_xlfn.XLOOKUP($J262, items_clean!$A:$A, items_clean!$E:$E, "")</f>
        <v>Large</v>
      </c>
      <c r="O262" s="3">
        <v>1</v>
      </c>
      <c r="P262" s="2">
        <f>_xlfn.XLOOKUP($J262, items_clean!$A:$A, items_clean!$F:$F, "")</f>
        <v>3.75</v>
      </c>
      <c r="Q262" s="2">
        <f t="shared" si="31"/>
        <v>3.75</v>
      </c>
      <c r="R262" s="7">
        <f>_xlfn.XLOOKUP(K262, recipe_cost!$A:$A, recipe_cost!$B:$B, "")</f>
        <v>0.36</v>
      </c>
      <c r="S262" s="10">
        <f t="shared" si="32"/>
        <v>0.36</v>
      </c>
      <c r="T262" s="10">
        <f t="shared" si="33"/>
        <v>3.39</v>
      </c>
      <c r="U262" s="9">
        <f t="shared" si="34"/>
        <v>0.90400000000000003</v>
      </c>
    </row>
    <row r="263" spans="1:21" x14ac:dyDescent="0.3">
      <c r="A263" s="1">
        <v>262</v>
      </c>
      <c r="B263" s="1" t="s">
        <v>416</v>
      </c>
      <c r="C263" s="4">
        <v>45337.356944444444</v>
      </c>
      <c r="D263" s="5">
        <f t="shared" si="28"/>
        <v>45337</v>
      </c>
      <c r="E263" s="3">
        <f t="shared" si="29"/>
        <v>8</v>
      </c>
      <c r="F263" s="1" t="str" cm="1">
        <f t="array" ref="F263">_xlfn.IFS(
E263&lt;11,"Morning",
E263&lt;15,"Afternoon",
TRUE,"Evening"
)</f>
        <v>Morning</v>
      </c>
      <c r="G263" s="3" t="str">
        <f t="shared" si="30"/>
        <v>Thu</v>
      </c>
      <c r="H263" s="1" t="s">
        <v>417</v>
      </c>
      <c r="I263" s="1" t="s">
        <v>149</v>
      </c>
      <c r="J263" s="1" t="s">
        <v>110</v>
      </c>
      <c r="K263" s="1" t="str">
        <f>_xlfn.XLOOKUP($J263, items_clean!$A:$A, items_clean!$B:$B, "")</f>
        <v>HDR-CRM-LG</v>
      </c>
      <c r="L263" s="1" t="str">
        <f>_xlfn.XLOOKUP($J263, items_clean!$A:$A, items_clean!$C:$C, "")</f>
        <v>Caramel Macchiato</v>
      </c>
      <c r="M263" s="1" t="str">
        <f>_xlfn.XLOOKUP($J263, items_clean!$A:$A, items_clean!$D:$D, "")</f>
        <v>Hot Drinks</v>
      </c>
      <c r="N263" s="1" t="str">
        <f>_xlfn.XLOOKUP($J263, items_clean!$A:$A, items_clean!$E:$E, "")</f>
        <v>Large</v>
      </c>
      <c r="O263" s="3">
        <v>1</v>
      </c>
      <c r="P263" s="2">
        <f>_xlfn.XLOOKUP($J263, items_clean!$A:$A, items_clean!$F:$F, "")</f>
        <v>4.5999999999999996</v>
      </c>
      <c r="Q263" s="2">
        <f t="shared" si="31"/>
        <v>4.5999999999999996</v>
      </c>
      <c r="R263" s="7">
        <f>_xlfn.XLOOKUP(K263, recipe_cost!$A:$A, recipe_cost!$B:$B, "")</f>
        <v>0.56669999999999998</v>
      </c>
      <c r="S263" s="10">
        <f t="shared" si="32"/>
        <v>0.56669999999999998</v>
      </c>
      <c r="T263" s="10">
        <f t="shared" si="33"/>
        <v>4.0332999999999997</v>
      </c>
      <c r="U263" s="9">
        <f t="shared" si="34"/>
        <v>0.87680434782608696</v>
      </c>
    </row>
    <row r="264" spans="1:21" x14ac:dyDescent="0.3">
      <c r="A264" s="1">
        <v>263</v>
      </c>
      <c r="B264" s="1" t="s">
        <v>418</v>
      </c>
      <c r="C264" s="4">
        <v>45337.361805555556</v>
      </c>
      <c r="D264" s="5">
        <f t="shared" si="28"/>
        <v>45337</v>
      </c>
      <c r="E264" s="3">
        <f t="shared" si="29"/>
        <v>8</v>
      </c>
      <c r="F264" s="1" t="str" cm="1">
        <f t="array" ref="F264">_xlfn.IFS(
E264&lt;11,"Morning",
E264&lt;15,"Afternoon",
TRUE,"Evening"
)</f>
        <v>Morning</v>
      </c>
      <c r="G264" s="3" t="str">
        <f t="shared" si="30"/>
        <v>Thu</v>
      </c>
      <c r="H264" s="1" t="s">
        <v>419</v>
      </c>
      <c r="I264" s="1" t="s">
        <v>146</v>
      </c>
      <c r="J264" s="1" t="s">
        <v>128</v>
      </c>
      <c r="K264" s="1" t="str">
        <f>_xlfn.XLOOKUP($J264, items_clean!$A:$A, items_clean!$B:$B, "")</f>
        <v>CDR-CMO-LG</v>
      </c>
      <c r="L264" s="1" t="str">
        <f>_xlfn.XLOOKUP($J264, items_clean!$A:$A, items_clean!$C:$C, "")</f>
        <v>Cold Mocha</v>
      </c>
      <c r="M264" s="1" t="str">
        <f>_xlfn.XLOOKUP($J264, items_clean!$A:$A, items_clean!$D:$D, "")</f>
        <v>Cold Drinks</v>
      </c>
      <c r="N264" s="1" t="str">
        <f>_xlfn.XLOOKUP($J264, items_clean!$A:$A, items_clean!$E:$E, "")</f>
        <v>Large</v>
      </c>
      <c r="O264" s="3">
        <v>1</v>
      </c>
      <c r="P264" s="2">
        <f>_xlfn.XLOOKUP($J264, items_clean!$A:$A, items_clean!$F:$F, "")</f>
        <v>4.5999999999999996</v>
      </c>
      <c r="Q264" s="2">
        <f t="shared" si="31"/>
        <v>4.5999999999999996</v>
      </c>
      <c r="R264" s="7">
        <f>_xlfn.XLOOKUP(K264, recipe_cost!$A:$A, recipe_cost!$B:$B, "")</f>
        <v>0.56669999999999998</v>
      </c>
      <c r="S264" s="10">
        <f t="shared" si="32"/>
        <v>0.56669999999999998</v>
      </c>
      <c r="T264" s="10">
        <f t="shared" si="33"/>
        <v>4.0332999999999997</v>
      </c>
      <c r="U264" s="9">
        <f t="shared" si="34"/>
        <v>0.87680434782608696</v>
      </c>
    </row>
    <row r="265" spans="1:21" x14ac:dyDescent="0.3">
      <c r="A265" s="1">
        <v>264</v>
      </c>
      <c r="B265" s="1" t="s">
        <v>420</v>
      </c>
      <c r="C265" s="4">
        <v>45337.366666666669</v>
      </c>
      <c r="D265" s="5">
        <f t="shared" si="28"/>
        <v>45337</v>
      </c>
      <c r="E265" s="3">
        <f t="shared" si="29"/>
        <v>8</v>
      </c>
      <c r="F265" s="1" t="str" cm="1">
        <f t="array" ref="F265">_xlfn.IFS(
E265&lt;11,"Morning",
E265&lt;15,"Afternoon",
TRUE,"Evening"
)</f>
        <v>Morning</v>
      </c>
      <c r="G265" s="3" t="str">
        <f t="shared" si="30"/>
        <v>Thu</v>
      </c>
      <c r="H265" s="1" t="s">
        <v>421</v>
      </c>
      <c r="I265" s="1" t="s">
        <v>149</v>
      </c>
      <c r="J265" s="1" t="s">
        <v>104</v>
      </c>
      <c r="K265" s="1" t="str">
        <f>_xlfn.XLOOKUP($J265, items_clean!$A:$A, items_clean!$B:$B, "")</f>
        <v>HDR-LAT-LG</v>
      </c>
      <c r="L265" s="1" t="str">
        <f>_xlfn.XLOOKUP($J265, items_clean!$A:$A, items_clean!$C:$C, "")</f>
        <v>Latte</v>
      </c>
      <c r="M265" s="1" t="str">
        <f>_xlfn.XLOOKUP($J265, items_clean!$A:$A, items_clean!$D:$D, "")</f>
        <v>Hot Drinks</v>
      </c>
      <c r="N265" s="1" t="str">
        <f>_xlfn.XLOOKUP($J265, items_clean!$A:$A, items_clean!$E:$E, "")</f>
        <v>Large</v>
      </c>
      <c r="O265" s="3">
        <v>1</v>
      </c>
      <c r="P265" s="2">
        <f>_xlfn.XLOOKUP($J265, items_clean!$A:$A, items_clean!$F:$F, "")</f>
        <v>3.75</v>
      </c>
      <c r="Q265" s="2">
        <f t="shared" si="31"/>
        <v>3.75</v>
      </c>
      <c r="R265" s="7">
        <f>_xlfn.XLOOKUP(K265, recipe_cost!$A:$A, recipe_cost!$B:$B, "")</f>
        <v>0.33599999999999997</v>
      </c>
      <c r="S265" s="10">
        <f t="shared" si="32"/>
        <v>0.33599999999999997</v>
      </c>
      <c r="T265" s="10">
        <f t="shared" si="33"/>
        <v>3.4140000000000001</v>
      </c>
      <c r="U265" s="9">
        <f t="shared" si="34"/>
        <v>0.91039999999999999</v>
      </c>
    </row>
    <row r="266" spans="1:21" x14ac:dyDescent="0.3">
      <c r="A266" s="1">
        <v>265</v>
      </c>
      <c r="B266" s="1" t="s">
        <v>422</v>
      </c>
      <c r="C266" s="4">
        <v>45337.37222222222</v>
      </c>
      <c r="D266" s="5">
        <f t="shared" si="28"/>
        <v>45337</v>
      </c>
      <c r="E266" s="3">
        <f t="shared" si="29"/>
        <v>8</v>
      </c>
      <c r="F266" s="1" t="str" cm="1">
        <f t="array" ref="F266">_xlfn.IFS(
E266&lt;11,"Morning",
E266&lt;15,"Afternoon",
TRUE,"Evening"
)</f>
        <v>Morning</v>
      </c>
      <c r="G266" s="3" t="str">
        <f t="shared" si="30"/>
        <v>Thu</v>
      </c>
      <c r="H266" s="1" t="s">
        <v>163</v>
      </c>
      <c r="I266" s="1" t="s">
        <v>146</v>
      </c>
      <c r="J266" s="1" t="s">
        <v>113</v>
      </c>
      <c r="K266" s="1" t="str">
        <f>_xlfn.XLOOKUP($J266, items_clean!$A:$A, items_clean!$B:$B, "")</f>
        <v>HDR-MOC-MD</v>
      </c>
      <c r="L266" s="1" t="str">
        <f>_xlfn.XLOOKUP($J266, items_clean!$A:$A, items_clean!$C:$C, "")</f>
        <v>Mocha</v>
      </c>
      <c r="M266" s="1" t="str">
        <f>_xlfn.XLOOKUP($J266, items_clean!$A:$A, items_clean!$D:$D, "")</f>
        <v>Hot Drinks</v>
      </c>
      <c r="N266" s="1" t="str">
        <f>_xlfn.XLOOKUP($J266, items_clean!$A:$A, items_clean!$E:$E, "")</f>
        <v>Medium</v>
      </c>
      <c r="O266" s="3">
        <v>1</v>
      </c>
      <c r="P266" s="2">
        <f>_xlfn.XLOOKUP($J266, items_clean!$A:$A, items_clean!$F:$F, "")</f>
        <v>4</v>
      </c>
      <c r="Q266" s="2">
        <f t="shared" si="31"/>
        <v>4</v>
      </c>
      <c r="R266" s="7">
        <f>_xlfn.XLOOKUP(K266, recipe_cost!$A:$A, recipe_cost!$B:$B, "")</f>
        <v>0.4098</v>
      </c>
      <c r="S266" s="10">
        <f t="shared" si="32"/>
        <v>0.4098</v>
      </c>
      <c r="T266" s="10">
        <f t="shared" si="33"/>
        <v>3.5901999999999998</v>
      </c>
      <c r="U266" s="9">
        <f t="shared" si="34"/>
        <v>0.89754999999999996</v>
      </c>
    </row>
    <row r="267" spans="1:21" x14ac:dyDescent="0.3">
      <c r="A267" s="1">
        <v>266</v>
      </c>
      <c r="B267" s="1" t="s">
        <v>423</v>
      </c>
      <c r="C267" s="4">
        <v>45337.377083333333</v>
      </c>
      <c r="D267" s="5">
        <f t="shared" si="28"/>
        <v>45337</v>
      </c>
      <c r="E267" s="3">
        <f t="shared" si="29"/>
        <v>9</v>
      </c>
      <c r="F267" s="1" t="str" cm="1">
        <f t="array" ref="F267">_xlfn.IFS(
E267&lt;11,"Morning",
E267&lt;15,"Afternoon",
TRUE,"Evening"
)</f>
        <v>Morning</v>
      </c>
      <c r="G267" s="3" t="str">
        <f t="shared" si="30"/>
        <v>Thu</v>
      </c>
      <c r="H267" s="1" t="s">
        <v>424</v>
      </c>
      <c r="I267" s="1" t="s">
        <v>149</v>
      </c>
      <c r="J267" s="1" t="s">
        <v>100</v>
      </c>
      <c r="K267" s="1" t="str">
        <f>_xlfn.XLOOKUP($J267, items_clean!$A:$A, items_clean!$B:$B, "")</f>
        <v>HDR-CAP-LG</v>
      </c>
      <c r="L267" s="1" t="str">
        <f>_xlfn.XLOOKUP($J267, items_clean!$A:$A, items_clean!$C:$C, "")</f>
        <v>Cappuccino</v>
      </c>
      <c r="M267" s="1" t="str">
        <f>_xlfn.XLOOKUP($J267, items_clean!$A:$A, items_clean!$D:$D, "")</f>
        <v>Hot Drinks</v>
      </c>
      <c r="N267" s="1" t="str">
        <f>_xlfn.XLOOKUP($J267, items_clean!$A:$A, items_clean!$E:$E, "")</f>
        <v>Large</v>
      </c>
      <c r="O267" s="3">
        <v>1</v>
      </c>
      <c r="P267" s="2">
        <f>_xlfn.XLOOKUP($J267, items_clean!$A:$A, items_clean!$F:$F, "")</f>
        <v>3.75</v>
      </c>
      <c r="Q267" s="2">
        <f t="shared" si="31"/>
        <v>3.75</v>
      </c>
      <c r="R267" s="7">
        <f>_xlfn.XLOOKUP(K267, recipe_cost!$A:$A, recipe_cost!$B:$B, "")</f>
        <v>0.33599999999999997</v>
      </c>
      <c r="S267" s="10">
        <f t="shared" si="32"/>
        <v>0.33599999999999997</v>
      </c>
      <c r="T267" s="10">
        <f t="shared" si="33"/>
        <v>3.4140000000000001</v>
      </c>
      <c r="U267" s="9">
        <f t="shared" si="34"/>
        <v>0.91039999999999999</v>
      </c>
    </row>
    <row r="268" spans="1:21" x14ac:dyDescent="0.3">
      <c r="A268" s="1">
        <v>267</v>
      </c>
      <c r="B268" s="1" t="s">
        <v>425</v>
      </c>
      <c r="C268" s="4">
        <v>45337.381944444445</v>
      </c>
      <c r="D268" s="5">
        <f t="shared" si="28"/>
        <v>45337</v>
      </c>
      <c r="E268" s="3">
        <f t="shared" si="29"/>
        <v>9</v>
      </c>
      <c r="F268" s="1" t="str" cm="1">
        <f t="array" ref="F268">_xlfn.IFS(
E268&lt;11,"Morning",
E268&lt;15,"Afternoon",
TRUE,"Evening"
)</f>
        <v>Morning</v>
      </c>
      <c r="G268" s="3" t="str">
        <f t="shared" si="30"/>
        <v>Thu</v>
      </c>
      <c r="H268" s="1" t="s">
        <v>426</v>
      </c>
      <c r="I268" s="1" t="s">
        <v>146</v>
      </c>
      <c r="J268" s="1" t="s">
        <v>131</v>
      </c>
      <c r="K268" s="1" t="str">
        <f>_xlfn.XLOOKUP($J268, items_clean!$A:$A, items_clean!$B:$B, "")</f>
        <v>CDR-ICT-LG</v>
      </c>
      <c r="L268" s="1" t="str">
        <f>_xlfn.XLOOKUP($J268, items_clean!$A:$A, items_clean!$C:$C, "")</f>
        <v>Iced Tea</v>
      </c>
      <c r="M268" s="1" t="str">
        <f>_xlfn.XLOOKUP($J268, items_clean!$A:$A, items_clean!$D:$D, "")</f>
        <v>Cold Drinks</v>
      </c>
      <c r="N268" s="1" t="str">
        <f>_xlfn.XLOOKUP($J268, items_clean!$A:$A, items_clean!$E:$E, "")</f>
        <v>Large</v>
      </c>
      <c r="O268" s="3">
        <v>1</v>
      </c>
      <c r="P268" s="2">
        <f>_xlfn.XLOOKUP($J268, items_clean!$A:$A, items_clean!$F:$F, "")</f>
        <v>3.55</v>
      </c>
      <c r="Q268" s="2">
        <f t="shared" si="31"/>
        <v>3.55</v>
      </c>
      <c r="R268" s="7">
        <f>_xlfn.XLOOKUP(K268, recipe_cost!$A:$A, recipe_cost!$B:$B, "")</f>
        <v>0.26984999999999998</v>
      </c>
      <c r="S268" s="10">
        <f t="shared" si="32"/>
        <v>0.26984999999999998</v>
      </c>
      <c r="T268" s="10">
        <f t="shared" si="33"/>
        <v>3.2801499999999999</v>
      </c>
      <c r="U268" s="9">
        <f t="shared" si="34"/>
        <v>0.92398591549295772</v>
      </c>
    </row>
    <row r="269" spans="1:21" x14ac:dyDescent="0.3">
      <c r="A269" s="1">
        <v>268</v>
      </c>
      <c r="B269" s="1" t="s">
        <v>427</v>
      </c>
      <c r="C269" s="4">
        <v>45337.386805555558</v>
      </c>
      <c r="D269" s="5">
        <f t="shared" si="28"/>
        <v>45337</v>
      </c>
      <c r="E269" s="3">
        <f t="shared" si="29"/>
        <v>9</v>
      </c>
      <c r="F269" s="1" t="str" cm="1">
        <f t="array" ref="F269">_xlfn.IFS(
E269&lt;11,"Morning",
E269&lt;15,"Afternoon",
TRUE,"Evening"
)</f>
        <v>Morning</v>
      </c>
      <c r="G269" s="3" t="str">
        <f t="shared" si="30"/>
        <v>Thu</v>
      </c>
      <c r="H269" s="1" t="s">
        <v>428</v>
      </c>
      <c r="I269" s="1" t="s">
        <v>149</v>
      </c>
      <c r="J269" s="1" t="s">
        <v>118</v>
      </c>
      <c r="K269" s="1" t="str">
        <f>_xlfn.XLOOKUP($J269, items_clean!$A:$A, items_clean!$B:$B, "")</f>
        <v>HDR-WMO-LG</v>
      </c>
      <c r="L269" s="1" t="str">
        <f>_xlfn.XLOOKUP($J269, items_clean!$A:$A, items_clean!$C:$C, "")</f>
        <v>White Mocha</v>
      </c>
      <c r="M269" s="1" t="str">
        <f>_xlfn.XLOOKUP($J269, items_clean!$A:$A, items_clean!$D:$D, "")</f>
        <v>Hot Drinks</v>
      </c>
      <c r="N269" s="1" t="str">
        <f>_xlfn.XLOOKUP($J269, items_clean!$A:$A, items_clean!$E:$E, "")</f>
        <v>Large</v>
      </c>
      <c r="O269" s="3">
        <v>1</v>
      </c>
      <c r="P269" s="2">
        <f>_xlfn.XLOOKUP($J269, items_clean!$A:$A, items_clean!$F:$F, "")</f>
        <v>4.7</v>
      </c>
      <c r="Q269" s="2">
        <f t="shared" si="31"/>
        <v>4.7</v>
      </c>
      <c r="R269" s="7">
        <f>_xlfn.XLOOKUP(K269, recipe_cost!$A:$A, recipe_cost!$B:$B, "")</f>
        <v>0.56669999999999998</v>
      </c>
      <c r="S269" s="10">
        <f t="shared" si="32"/>
        <v>0.56669999999999998</v>
      </c>
      <c r="T269" s="10">
        <f t="shared" si="33"/>
        <v>4.1333000000000002</v>
      </c>
      <c r="U269" s="9">
        <f t="shared" si="34"/>
        <v>0.87942553191489359</v>
      </c>
    </row>
    <row r="270" spans="1:21" x14ac:dyDescent="0.3">
      <c r="A270" s="1">
        <v>269</v>
      </c>
      <c r="B270" s="1" t="s">
        <v>429</v>
      </c>
      <c r="C270" s="4">
        <v>45337.39166666667</v>
      </c>
      <c r="D270" s="5">
        <f t="shared" si="28"/>
        <v>45337</v>
      </c>
      <c r="E270" s="3">
        <f t="shared" si="29"/>
        <v>9</v>
      </c>
      <c r="F270" s="1" t="str" cm="1">
        <f t="array" ref="F270">_xlfn.IFS(
E270&lt;11,"Morning",
E270&lt;15,"Afternoon",
TRUE,"Evening"
)</f>
        <v>Morning</v>
      </c>
      <c r="G270" s="3" t="str">
        <f t="shared" si="30"/>
        <v>Thu</v>
      </c>
      <c r="H270" s="1" t="s">
        <v>430</v>
      </c>
      <c r="I270" s="1" t="s">
        <v>146</v>
      </c>
      <c r="J270" s="1" t="s">
        <v>122</v>
      </c>
      <c r="K270" s="1" t="str">
        <f>_xlfn.XLOOKUP($J270, items_clean!$A:$A, items_clean!$B:$B, "")</f>
        <v>CDR-CCF-MD</v>
      </c>
      <c r="L270" s="1" t="str">
        <f>_xlfn.XLOOKUP($J270, items_clean!$A:$A, items_clean!$C:$C, "")</f>
        <v>Cold Coffee</v>
      </c>
      <c r="M270" s="1" t="str">
        <f>_xlfn.XLOOKUP($J270, items_clean!$A:$A, items_clean!$D:$D, "")</f>
        <v>Cold Drinks</v>
      </c>
      <c r="N270" s="1" t="str">
        <f>_xlfn.XLOOKUP($J270, items_clean!$A:$A, items_clean!$E:$E, "")</f>
        <v>Medium</v>
      </c>
      <c r="O270" s="3">
        <v>1</v>
      </c>
      <c r="P270" s="2">
        <f>_xlfn.XLOOKUP($J270, items_clean!$A:$A, items_clean!$F:$F, "")</f>
        <v>3.45</v>
      </c>
      <c r="Q270" s="2">
        <f t="shared" si="31"/>
        <v>3.45</v>
      </c>
      <c r="R270" s="7">
        <f>_xlfn.XLOOKUP(K270, recipe_cost!$A:$A, recipe_cost!$B:$B, "")</f>
        <v>0.252</v>
      </c>
      <c r="S270" s="10">
        <f t="shared" si="32"/>
        <v>0.252</v>
      </c>
      <c r="T270" s="10">
        <f t="shared" si="33"/>
        <v>3.1980000000000004</v>
      </c>
      <c r="U270" s="9">
        <f t="shared" si="34"/>
        <v>0.92695652173913046</v>
      </c>
    </row>
    <row r="271" spans="1:21" x14ac:dyDescent="0.3">
      <c r="A271" s="1">
        <v>270</v>
      </c>
      <c r="B271" s="1" t="s">
        <v>431</v>
      </c>
      <c r="C271" s="4">
        <v>45337.396527777775</v>
      </c>
      <c r="D271" s="5">
        <f t="shared" si="28"/>
        <v>45337</v>
      </c>
      <c r="E271" s="3">
        <f t="shared" si="29"/>
        <v>9</v>
      </c>
      <c r="F271" s="1" t="str" cm="1">
        <f t="array" ref="F271">_xlfn.IFS(
E271&lt;11,"Morning",
E271&lt;15,"Afternoon",
TRUE,"Evening"
)</f>
        <v>Morning</v>
      </c>
      <c r="G271" s="3" t="str">
        <f t="shared" si="30"/>
        <v>Thu</v>
      </c>
      <c r="H271" s="1" t="s">
        <v>432</v>
      </c>
      <c r="I271" s="1" t="s">
        <v>149</v>
      </c>
      <c r="J271" s="1" t="s">
        <v>135</v>
      </c>
      <c r="K271" s="1" t="str">
        <f>_xlfn.XLOOKUP($J271, items_clean!$A:$A, items_clean!$B:$B, "")</f>
        <v>SNK-SHC</v>
      </c>
      <c r="L271" s="1" t="str">
        <f>_xlfn.XLOOKUP($J271, items_clean!$A:$A, items_clean!$C:$C, "")</f>
        <v>Sandwich Ham&amp;Cheese</v>
      </c>
      <c r="M271" s="1" t="str">
        <f>_xlfn.XLOOKUP($J271, items_clean!$A:$A, items_clean!$D:$D, "")</f>
        <v>Snacks</v>
      </c>
      <c r="N271" s="1" t="str">
        <f>_xlfn.XLOOKUP($J271, items_clean!$A:$A, items_clean!$E:$E, "")</f>
        <v>N/A</v>
      </c>
      <c r="O271" s="3">
        <v>1</v>
      </c>
      <c r="P271" s="2">
        <f>_xlfn.XLOOKUP($J271, items_clean!$A:$A, items_clean!$F:$F, "")</f>
        <v>5.6</v>
      </c>
      <c r="Q271" s="2">
        <f t="shared" si="31"/>
        <v>5.6</v>
      </c>
      <c r="R271" s="7">
        <f>_xlfn.XLOOKUP(K271, recipe_cost!$A:$A, recipe_cost!$B:$B, "")</f>
        <v>2.0105</v>
      </c>
      <c r="S271" s="10">
        <f t="shared" si="32"/>
        <v>2.0105</v>
      </c>
      <c r="T271" s="10">
        <f t="shared" si="33"/>
        <v>3.5894999999999997</v>
      </c>
      <c r="U271" s="9">
        <f t="shared" si="34"/>
        <v>0.64098214285714283</v>
      </c>
    </row>
    <row r="272" spans="1:21" x14ac:dyDescent="0.3">
      <c r="A272" s="1">
        <v>271</v>
      </c>
      <c r="B272" s="1" t="s">
        <v>433</v>
      </c>
      <c r="C272" s="4">
        <v>45337.401388888888</v>
      </c>
      <c r="D272" s="5">
        <f t="shared" si="28"/>
        <v>45337</v>
      </c>
      <c r="E272" s="3">
        <f t="shared" si="29"/>
        <v>9</v>
      </c>
      <c r="F272" s="1" t="str" cm="1">
        <f t="array" ref="F272">_xlfn.IFS(
E272&lt;11,"Morning",
E272&lt;15,"Afternoon",
TRUE,"Evening"
)</f>
        <v>Morning</v>
      </c>
      <c r="G272" s="3" t="str">
        <f t="shared" si="30"/>
        <v>Thu</v>
      </c>
      <c r="H272" s="1" t="s">
        <v>434</v>
      </c>
      <c r="I272" s="1" t="s">
        <v>146</v>
      </c>
      <c r="J272" s="1" t="s">
        <v>111</v>
      </c>
      <c r="K272" s="1" t="str">
        <f>_xlfn.XLOOKUP($J272, items_clean!$A:$A, items_clean!$B:$B, "")</f>
        <v>HDR-ESP</v>
      </c>
      <c r="L272" s="1" t="str">
        <f>_xlfn.XLOOKUP($J272, items_clean!$A:$A, items_clean!$C:$C, "")</f>
        <v>Espresso</v>
      </c>
      <c r="M272" s="1" t="str">
        <f>_xlfn.XLOOKUP($J272, items_clean!$A:$A, items_clean!$D:$D, "")</f>
        <v>Hot Drinks</v>
      </c>
      <c r="N272" s="1" t="str">
        <f>_xlfn.XLOOKUP($J272, items_clean!$A:$A, items_clean!$E:$E, "")</f>
        <v>N/A</v>
      </c>
      <c r="O272" s="3">
        <v>1</v>
      </c>
      <c r="P272" s="2">
        <f>_xlfn.XLOOKUP($J272, items_clean!$A:$A, items_clean!$F:$F, "")</f>
        <v>2.15</v>
      </c>
      <c r="Q272" s="2">
        <f t="shared" si="31"/>
        <v>2.15</v>
      </c>
      <c r="R272" s="7">
        <f>_xlfn.XLOOKUP(K272, recipe_cost!$A:$A, recipe_cost!$B:$B, "")</f>
        <v>9.6000000000000002E-2</v>
      </c>
      <c r="S272" s="10">
        <f t="shared" si="32"/>
        <v>9.6000000000000002E-2</v>
      </c>
      <c r="T272" s="10">
        <f t="shared" si="33"/>
        <v>2.0539999999999998</v>
      </c>
      <c r="U272" s="9">
        <f t="shared" si="34"/>
        <v>0.9553488372093023</v>
      </c>
    </row>
    <row r="273" spans="1:21" x14ac:dyDescent="0.3">
      <c r="A273" s="1">
        <v>272</v>
      </c>
      <c r="B273" s="1" t="s">
        <v>435</v>
      </c>
      <c r="C273" s="4">
        <v>45337.408333333333</v>
      </c>
      <c r="D273" s="5">
        <f t="shared" si="28"/>
        <v>45337</v>
      </c>
      <c r="E273" s="3">
        <f t="shared" si="29"/>
        <v>9</v>
      </c>
      <c r="F273" s="1" t="str" cm="1">
        <f t="array" ref="F273">_xlfn.IFS(
E273&lt;11,"Morning",
E273&lt;15,"Afternoon",
TRUE,"Evening"
)</f>
        <v>Morning</v>
      </c>
      <c r="G273" s="3" t="str">
        <f t="shared" si="30"/>
        <v>Thu</v>
      </c>
      <c r="H273" s="1" t="s">
        <v>436</v>
      </c>
      <c r="I273" s="1" t="s">
        <v>149</v>
      </c>
      <c r="J273" s="1" t="s">
        <v>118</v>
      </c>
      <c r="K273" s="1" t="str">
        <f>_xlfn.XLOOKUP($J273, items_clean!$A:$A, items_clean!$B:$B, "")</f>
        <v>HDR-WMO-LG</v>
      </c>
      <c r="L273" s="1" t="str">
        <f>_xlfn.XLOOKUP($J273, items_clean!$A:$A, items_clean!$C:$C, "")</f>
        <v>White Mocha</v>
      </c>
      <c r="M273" s="1" t="str">
        <f>_xlfn.XLOOKUP($J273, items_clean!$A:$A, items_clean!$D:$D, "")</f>
        <v>Hot Drinks</v>
      </c>
      <c r="N273" s="1" t="str">
        <f>_xlfn.XLOOKUP($J273, items_clean!$A:$A, items_clean!$E:$E, "")</f>
        <v>Large</v>
      </c>
      <c r="O273" s="3">
        <v>1</v>
      </c>
      <c r="P273" s="2">
        <f>_xlfn.XLOOKUP($J273, items_clean!$A:$A, items_clean!$F:$F, "")</f>
        <v>4.7</v>
      </c>
      <c r="Q273" s="2">
        <f t="shared" si="31"/>
        <v>4.7</v>
      </c>
      <c r="R273" s="7">
        <f>_xlfn.XLOOKUP(K273, recipe_cost!$A:$A, recipe_cost!$B:$B, "")</f>
        <v>0.56669999999999998</v>
      </c>
      <c r="S273" s="10">
        <f t="shared" si="32"/>
        <v>0.56669999999999998</v>
      </c>
      <c r="T273" s="10">
        <f t="shared" si="33"/>
        <v>4.1333000000000002</v>
      </c>
      <c r="U273" s="9">
        <f t="shared" si="34"/>
        <v>0.87942553191489359</v>
      </c>
    </row>
    <row r="274" spans="1:21" x14ac:dyDescent="0.3">
      <c r="A274" s="1">
        <v>273</v>
      </c>
      <c r="B274" s="1" t="s">
        <v>437</v>
      </c>
      <c r="C274" s="4">
        <v>45337.419444444444</v>
      </c>
      <c r="D274" s="5">
        <f t="shared" si="28"/>
        <v>45337</v>
      </c>
      <c r="E274" s="3">
        <f t="shared" si="29"/>
        <v>10</v>
      </c>
      <c r="F274" s="1" t="str" cm="1">
        <f t="array" ref="F274">_xlfn.IFS(
E274&lt;11,"Morning",
E274&lt;15,"Afternoon",
TRUE,"Evening"
)</f>
        <v>Morning</v>
      </c>
      <c r="G274" s="3" t="str">
        <f t="shared" si="30"/>
        <v>Thu</v>
      </c>
      <c r="H274" s="1" t="s">
        <v>393</v>
      </c>
      <c r="I274" s="1" t="s">
        <v>146</v>
      </c>
      <c r="J274" s="1" t="s">
        <v>132</v>
      </c>
      <c r="K274" s="1" t="str">
        <f>_xlfn.XLOOKUP($J274, items_clean!$A:$A, items_clean!$B:$B, "")</f>
        <v>CDR-LMN-MD</v>
      </c>
      <c r="L274" s="1" t="str">
        <f>_xlfn.XLOOKUP($J274, items_clean!$A:$A, items_clean!$C:$C, "")</f>
        <v>Lemonade</v>
      </c>
      <c r="M274" s="1" t="str">
        <f>_xlfn.XLOOKUP($J274, items_clean!$A:$A, items_clean!$D:$D, "")</f>
        <v>Cold Drinks</v>
      </c>
      <c r="N274" s="1" t="str">
        <f>_xlfn.XLOOKUP($J274, items_clean!$A:$A, items_clean!$E:$E, "")</f>
        <v>Medium</v>
      </c>
      <c r="O274" s="3">
        <v>1</v>
      </c>
      <c r="P274" s="2">
        <f>_xlfn.XLOOKUP($J274, items_clean!$A:$A, items_clean!$F:$F, "")</f>
        <v>3.35</v>
      </c>
      <c r="Q274" s="2">
        <f t="shared" si="31"/>
        <v>3.35</v>
      </c>
      <c r="R274" s="7">
        <f>_xlfn.XLOOKUP(K274, recipe_cost!$A:$A, recipe_cost!$B:$B, "")</f>
        <v>0.34499999999999997</v>
      </c>
      <c r="S274" s="10">
        <f t="shared" si="32"/>
        <v>0.34499999999999997</v>
      </c>
      <c r="T274" s="10">
        <f t="shared" si="33"/>
        <v>3.0049999999999999</v>
      </c>
      <c r="U274" s="9">
        <f t="shared" si="34"/>
        <v>0.89701492537313432</v>
      </c>
    </row>
    <row r="275" spans="1:21" x14ac:dyDescent="0.3">
      <c r="A275" s="1">
        <v>274</v>
      </c>
      <c r="B275" s="1" t="s">
        <v>438</v>
      </c>
      <c r="C275" s="4">
        <v>45337.430555555555</v>
      </c>
      <c r="D275" s="5">
        <f t="shared" si="28"/>
        <v>45337</v>
      </c>
      <c r="E275" s="3">
        <f t="shared" si="29"/>
        <v>10</v>
      </c>
      <c r="F275" s="1" t="str" cm="1">
        <f t="array" ref="F275">_xlfn.IFS(
E275&lt;11,"Morning",
E275&lt;15,"Afternoon",
TRUE,"Evening"
)</f>
        <v>Morning</v>
      </c>
      <c r="G275" s="3" t="str">
        <f t="shared" si="30"/>
        <v>Thu</v>
      </c>
      <c r="H275" s="1" t="s">
        <v>171</v>
      </c>
      <c r="I275" s="1" t="s">
        <v>149</v>
      </c>
      <c r="J275" s="1" t="s">
        <v>104</v>
      </c>
      <c r="K275" s="1" t="str">
        <f>_xlfn.XLOOKUP($J275, items_clean!$A:$A, items_clean!$B:$B, "")</f>
        <v>HDR-LAT-LG</v>
      </c>
      <c r="L275" s="1" t="str">
        <f>_xlfn.XLOOKUP($J275, items_clean!$A:$A, items_clean!$C:$C, "")</f>
        <v>Latte</v>
      </c>
      <c r="M275" s="1" t="str">
        <f>_xlfn.XLOOKUP($J275, items_clean!$A:$A, items_clean!$D:$D, "")</f>
        <v>Hot Drinks</v>
      </c>
      <c r="N275" s="1" t="str">
        <f>_xlfn.XLOOKUP($J275, items_clean!$A:$A, items_clean!$E:$E, "")</f>
        <v>Large</v>
      </c>
      <c r="O275" s="3">
        <v>1</v>
      </c>
      <c r="P275" s="2">
        <f>_xlfn.XLOOKUP($J275, items_clean!$A:$A, items_clean!$F:$F, "")</f>
        <v>3.75</v>
      </c>
      <c r="Q275" s="2">
        <f t="shared" si="31"/>
        <v>3.75</v>
      </c>
      <c r="R275" s="7">
        <f>_xlfn.XLOOKUP(K275, recipe_cost!$A:$A, recipe_cost!$B:$B, "")</f>
        <v>0.33599999999999997</v>
      </c>
      <c r="S275" s="10">
        <f t="shared" si="32"/>
        <v>0.33599999999999997</v>
      </c>
      <c r="T275" s="10">
        <f t="shared" si="33"/>
        <v>3.4140000000000001</v>
      </c>
      <c r="U275" s="9">
        <f t="shared" si="34"/>
        <v>0.91039999999999999</v>
      </c>
    </row>
    <row r="276" spans="1:21" x14ac:dyDescent="0.3">
      <c r="A276" s="1">
        <v>275</v>
      </c>
      <c r="B276" s="1" t="s">
        <v>441</v>
      </c>
      <c r="C276" s="4">
        <v>45337.452777777777</v>
      </c>
      <c r="D276" s="5">
        <f t="shared" si="28"/>
        <v>45337</v>
      </c>
      <c r="E276" s="3">
        <f t="shared" si="29"/>
        <v>10</v>
      </c>
      <c r="F276" s="1" t="str" cm="1">
        <f t="array" ref="F276">_xlfn.IFS(
E276&lt;11,"Morning",
E276&lt;15,"Afternoon",
TRUE,"Evening"
)</f>
        <v>Morning</v>
      </c>
      <c r="G276" s="3" t="str">
        <f t="shared" si="30"/>
        <v>Thu</v>
      </c>
      <c r="H276" s="1" t="s">
        <v>442</v>
      </c>
      <c r="I276" s="1" t="s">
        <v>149</v>
      </c>
      <c r="J276" s="1" t="s">
        <v>113</v>
      </c>
      <c r="K276" s="1" t="str">
        <f>_xlfn.XLOOKUP($J276, items_clean!$A:$A, items_clean!$B:$B, "")</f>
        <v>HDR-MOC-MD</v>
      </c>
      <c r="L276" s="1" t="str">
        <f>_xlfn.XLOOKUP($J276, items_clean!$A:$A, items_clean!$C:$C, "")</f>
        <v>Mocha</v>
      </c>
      <c r="M276" s="1" t="str">
        <f>_xlfn.XLOOKUP($J276, items_clean!$A:$A, items_clean!$D:$D, "")</f>
        <v>Hot Drinks</v>
      </c>
      <c r="N276" s="1" t="str">
        <f>_xlfn.XLOOKUP($J276, items_clean!$A:$A, items_clean!$E:$E, "")</f>
        <v>Medium</v>
      </c>
      <c r="O276" s="3">
        <v>1</v>
      </c>
      <c r="P276" s="2">
        <f>_xlfn.XLOOKUP($J276, items_clean!$A:$A, items_clean!$F:$F, "")</f>
        <v>4</v>
      </c>
      <c r="Q276" s="2">
        <f t="shared" si="31"/>
        <v>4</v>
      </c>
      <c r="R276" s="7">
        <f>_xlfn.XLOOKUP(K276, recipe_cost!$A:$A, recipe_cost!$B:$B, "")</f>
        <v>0.4098</v>
      </c>
      <c r="S276" s="10">
        <f t="shared" si="32"/>
        <v>0.4098</v>
      </c>
      <c r="T276" s="10">
        <f t="shared" si="33"/>
        <v>3.5901999999999998</v>
      </c>
      <c r="U276" s="9">
        <f t="shared" si="34"/>
        <v>0.89754999999999996</v>
      </c>
    </row>
    <row r="277" spans="1:21" x14ac:dyDescent="0.3">
      <c r="A277" s="1">
        <v>276</v>
      </c>
      <c r="B277" s="1" t="s">
        <v>443</v>
      </c>
      <c r="C277" s="4">
        <v>45337.463888888888</v>
      </c>
      <c r="D277" s="5">
        <f t="shared" si="28"/>
        <v>45337</v>
      </c>
      <c r="E277" s="3">
        <f t="shared" si="29"/>
        <v>11</v>
      </c>
      <c r="F277" s="1" t="str" cm="1">
        <f t="array" ref="F277">_xlfn.IFS(
E277&lt;11,"Morning",
E277&lt;15,"Afternoon",
TRUE,"Evening"
)</f>
        <v>Afternoon</v>
      </c>
      <c r="G277" s="3" t="str">
        <f t="shared" si="30"/>
        <v>Thu</v>
      </c>
      <c r="H277" s="1" t="s">
        <v>444</v>
      </c>
      <c r="I277" s="1" t="s">
        <v>146</v>
      </c>
      <c r="J277" s="1" t="s">
        <v>128</v>
      </c>
      <c r="K277" s="1" t="str">
        <f>_xlfn.XLOOKUP($J277, items_clean!$A:$A, items_clean!$B:$B, "")</f>
        <v>CDR-CMO-LG</v>
      </c>
      <c r="L277" s="1" t="str">
        <f>_xlfn.XLOOKUP($J277, items_clean!$A:$A, items_clean!$C:$C, "")</f>
        <v>Cold Mocha</v>
      </c>
      <c r="M277" s="1" t="str">
        <f>_xlfn.XLOOKUP($J277, items_clean!$A:$A, items_clean!$D:$D, "")</f>
        <v>Cold Drinks</v>
      </c>
      <c r="N277" s="1" t="str">
        <f>_xlfn.XLOOKUP($J277, items_clean!$A:$A, items_clean!$E:$E, "")</f>
        <v>Large</v>
      </c>
      <c r="O277" s="3">
        <v>1</v>
      </c>
      <c r="P277" s="2">
        <f>_xlfn.XLOOKUP($J277, items_clean!$A:$A, items_clean!$F:$F, "")</f>
        <v>4.5999999999999996</v>
      </c>
      <c r="Q277" s="2">
        <f t="shared" si="31"/>
        <v>4.5999999999999996</v>
      </c>
      <c r="R277" s="7">
        <f>_xlfn.XLOOKUP(K277, recipe_cost!$A:$A, recipe_cost!$B:$B, "")</f>
        <v>0.56669999999999998</v>
      </c>
      <c r="S277" s="10">
        <f t="shared" si="32"/>
        <v>0.56669999999999998</v>
      </c>
      <c r="T277" s="10">
        <f t="shared" si="33"/>
        <v>4.0332999999999997</v>
      </c>
      <c r="U277" s="9">
        <f t="shared" si="34"/>
        <v>0.87680434782608696</v>
      </c>
    </row>
    <row r="278" spans="1:21" x14ac:dyDescent="0.3">
      <c r="A278" s="1">
        <v>277</v>
      </c>
      <c r="B278" s="1" t="s">
        <v>443</v>
      </c>
      <c r="C278" s="4">
        <v>45337.463888888888</v>
      </c>
      <c r="D278" s="5">
        <f t="shared" si="28"/>
        <v>45337</v>
      </c>
      <c r="E278" s="3">
        <f t="shared" si="29"/>
        <v>11</v>
      </c>
      <c r="F278" s="1" t="str" cm="1">
        <f t="array" ref="F278">_xlfn.IFS(
E278&lt;11,"Morning",
E278&lt;15,"Afternoon",
TRUE,"Evening"
)</f>
        <v>Afternoon</v>
      </c>
      <c r="G278" s="3" t="str">
        <f t="shared" si="30"/>
        <v>Thu</v>
      </c>
      <c r="H278" s="1" t="s">
        <v>444</v>
      </c>
      <c r="I278" s="1" t="s">
        <v>778</v>
      </c>
      <c r="J278" s="1" t="s">
        <v>134</v>
      </c>
      <c r="K278" s="1" t="str">
        <f>_xlfn.XLOOKUP($J278, items_clean!$A:$A, items_clean!$B:$B, "")</f>
        <v>CDR-LMN-LG</v>
      </c>
      <c r="L278" s="1" t="str">
        <f>_xlfn.XLOOKUP($J278, items_clean!$A:$A, items_clean!$C:$C, "")</f>
        <v>Lemonade</v>
      </c>
      <c r="M278" s="1" t="str">
        <f>_xlfn.XLOOKUP($J278, items_clean!$A:$A, items_clean!$D:$D, "")</f>
        <v>Cold Drinks</v>
      </c>
      <c r="N278" s="1" t="str">
        <f>_xlfn.XLOOKUP($J278, items_clean!$A:$A, items_clean!$E:$E, "")</f>
        <v>Large</v>
      </c>
      <c r="O278" s="3">
        <v>1</v>
      </c>
      <c r="P278" s="2">
        <f>_xlfn.XLOOKUP($J278, items_clean!$A:$A, items_clean!$F:$F, "")</f>
        <v>3.75</v>
      </c>
      <c r="Q278" s="2">
        <f t="shared" si="31"/>
        <v>3.75</v>
      </c>
      <c r="R278" s="7">
        <f>_xlfn.XLOOKUP(K278, recipe_cost!$A:$A, recipe_cost!$B:$B, "")</f>
        <v>0.36</v>
      </c>
      <c r="S278" s="10">
        <f t="shared" si="32"/>
        <v>0.36</v>
      </c>
      <c r="T278" s="10">
        <f t="shared" si="33"/>
        <v>3.39</v>
      </c>
      <c r="U278" s="9">
        <f t="shared" si="34"/>
        <v>0.90400000000000003</v>
      </c>
    </row>
    <row r="279" spans="1:21" x14ac:dyDescent="0.3">
      <c r="A279" s="1">
        <v>278</v>
      </c>
      <c r="B279" s="1" t="s">
        <v>445</v>
      </c>
      <c r="C279" s="4">
        <v>45337.474999999999</v>
      </c>
      <c r="D279" s="5">
        <f t="shared" si="28"/>
        <v>45337</v>
      </c>
      <c r="E279" s="3">
        <f t="shared" si="29"/>
        <v>11</v>
      </c>
      <c r="F279" s="1" t="str" cm="1">
        <f t="array" ref="F279">_xlfn.IFS(
E279&lt;11,"Morning",
E279&lt;15,"Afternoon",
TRUE,"Evening"
)</f>
        <v>Afternoon</v>
      </c>
      <c r="G279" s="3" t="str">
        <f t="shared" si="30"/>
        <v>Thu</v>
      </c>
      <c r="H279" s="1" t="s">
        <v>446</v>
      </c>
      <c r="I279" s="1" t="s">
        <v>149</v>
      </c>
      <c r="J279" s="1" t="s">
        <v>108</v>
      </c>
      <c r="K279" s="1" t="str">
        <f>_xlfn.XLOOKUP($J279, items_clean!$A:$A, items_clean!$B:$B, "")</f>
        <v>HDR-CRM-MD</v>
      </c>
      <c r="L279" s="1" t="str">
        <f>_xlfn.XLOOKUP($J279, items_clean!$A:$A, items_clean!$C:$C, "")</f>
        <v>Caramel Macchiato</v>
      </c>
      <c r="M279" s="1" t="str">
        <f>_xlfn.XLOOKUP($J279, items_clean!$A:$A, items_clean!$D:$D, "")</f>
        <v>Hot Drinks</v>
      </c>
      <c r="N279" s="1" t="str">
        <f>_xlfn.XLOOKUP($J279, items_clean!$A:$A, items_clean!$E:$E, "")</f>
        <v>Medium</v>
      </c>
      <c r="O279" s="3">
        <v>1</v>
      </c>
      <c r="P279" s="2">
        <f>_xlfn.XLOOKUP($J279, items_clean!$A:$A, items_clean!$F:$F, "")</f>
        <v>4.2</v>
      </c>
      <c r="Q279" s="2">
        <f t="shared" si="31"/>
        <v>4.2</v>
      </c>
      <c r="R279" s="7">
        <f>_xlfn.XLOOKUP(K279, recipe_cost!$A:$A, recipe_cost!$B:$B, "")</f>
        <v>0.4098</v>
      </c>
      <c r="S279" s="10">
        <f t="shared" si="32"/>
        <v>0.4098</v>
      </c>
      <c r="T279" s="10">
        <f t="shared" si="33"/>
        <v>3.7902</v>
      </c>
      <c r="U279" s="9">
        <f t="shared" si="34"/>
        <v>0.90242857142857136</v>
      </c>
    </row>
    <row r="280" spans="1:21" x14ac:dyDescent="0.3">
      <c r="A280" s="1">
        <v>279</v>
      </c>
      <c r="B280" s="1" t="s">
        <v>447</v>
      </c>
      <c r="C280" s="4">
        <v>45337.486111111109</v>
      </c>
      <c r="D280" s="5">
        <f t="shared" si="28"/>
        <v>45337</v>
      </c>
      <c r="E280" s="3">
        <f t="shared" si="29"/>
        <v>11</v>
      </c>
      <c r="F280" s="1" t="str" cm="1">
        <f t="array" ref="F280">_xlfn.IFS(
E280&lt;11,"Morning",
E280&lt;15,"Afternoon",
TRUE,"Evening"
)</f>
        <v>Afternoon</v>
      </c>
      <c r="G280" s="3" t="str">
        <f t="shared" si="30"/>
        <v>Thu</v>
      </c>
      <c r="H280" s="1" t="s">
        <v>448</v>
      </c>
      <c r="I280" s="1" t="s">
        <v>146</v>
      </c>
      <c r="J280" s="1" t="s">
        <v>125</v>
      </c>
      <c r="K280" s="1" t="str">
        <f>_xlfn.XLOOKUP($J280, items_clean!$A:$A, items_clean!$B:$B, "")</f>
        <v>CDR-CCF-LG</v>
      </c>
      <c r="L280" s="1" t="str">
        <f>_xlfn.XLOOKUP($J280, items_clean!$A:$A, items_clean!$C:$C, "")</f>
        <v>Cold Coffee</v>
      </c>
      <c r="M280" s="1" t="str">
        <f>_xlfn.XLOOKUP($J280, items_clean!$A:$A, items_clean!$D:$D, "")</f>
        <v>Cold Drinks</v>
      </c>
      <c r="N280" s="1" t="str">
        <f>_xlfn.XLOOKUP($J280, items_clean!$A:$A, items_clean!$E:$E, "")</f>
        <v>Large</v>
      </c>
      <c r="O280" s="3">
        <v>1</v>
      </c>
      <c r="P280" s="2">
        <f>_xlfn.XLOOKUP($J280, items_clean!$A:$A, items_clean!$F:$F, "")</f>
        <v>3.75</v>
      </c>
      <c r="Q280" s="2">
        <f t="shared" si="31"/>
        <v>3.75</v>
      </c>
      <c r="R280" s="7">
        <f>_xlfn.XLOOKUP(K280, recipe_cost!$A:$A, recipe_cost!$B:$B, "")</f>
        <v>0.33599999999999997</v>
      </c>
      <c r="S280" s="10">
        <f t="shared" si="32"/>
        <v>0.33599999999999997</v>
      </c>
      <c r="T280" s="10">
        <f t="shared" si="33"/>
        <v>3.4140000000000001</v>
      </c>
      <c r="U280" s="9">
        <f t="shared" si="34"/>
        <v>0.91039999999999999</v>
      </c>
    </row>
    <row r="281" spans="1:21" x14ac:dyDescent="0.3">
      <c r="A281" s="1">
        <v>280</v>
      </c>
      <c r="B281" s="1" t="s">
        <v>449</v>
      </c>
      <c r="C281" s="4">
        <v>45337.49722222222</v>
      </c>
      <c r="D281" s="5">
        <f t="shared" si="28"/>
        <v>45337</v>
      </c>
      <c r="E281" s="3">
        <f t="shared" si="29"/>
        <v>11</v>
      </c>
      <c r="F281" s="1" t="str" cm="1">
        <f t="array" ref="F281">_xlfn.IFS(
E281&lt;11,"Morning",
E281&lt;15,"Afternoon",
TRUE,"Evening"
)</f>
        <v>Afternoon</v>
      </c>
      <c r="G281" s="3" t="str">
        <f t="shared" si="30"/>
        <v>Thu</v>
      </c>
      <c r="H281" s="1" t="s">
        <v>407</v>
      </c>
      <c r="I281" s="1" t="s">
        <v>149</v>
      </c>
      <c r="J281" s="1" t="s">
        <v>96</v>
      </c>
      <c r="K281" s="1" t="str">
        <f>_xlfn.XLOOKUP($J281, items_clean!$A:$A, items_clean!$B:$B, "")</f>
        <v>HDR-CAP-MD</v>
      </c>
      <c r="L281" s="1" t="str">
        <f>_xlfn.XLOOKUP($J281, items_clean!$A:$A, items_clean!$C:$C, "")</f>
        <v>Cappuccino</v>
      </c>
      <c r="M281" s="1" t="str">
        <f>_xlfn.XLOOKUP($J281, items_clean!$A:$A, items_clean!$D:$D, "")</f>
        <v>Hot Drinks</v>
      </c>
      <c r="N281" s="1" t="str">
        <f>_xlfn.XLOOKUP($J281, items_clean!$A:$A, items_clean!$E:$E, "")</f>
        <v>Medium</v>
      </c>
      <c r="O281" s="3">
        <v>1</v>
      </c>
      <c r="P281" s="2">
        <f>_xlfn.XLOOKUP($J281, items_clean!$A:$A, items_clean!$F:$F, "")</f>
        <v>3.45</v>
      </c>
      <c r="Q281" s="2">
        <f t="shared" si="31"/>
        <v>3.45</v>
      </c>
      <c r="R281" s="7">
        <f>_xlfn.XLOOKUP(K281, recipe_cost!$A:$A, recipe_cost!$B:$B, "")</f>
        <v>0.252</v>
      </c>
      <c r="S281" s="10">
        <f t="shared" si="32"/>
        <v>0.252</v>
      </c>
      <c r="T281" s="10">
        <f t="shared" si="33"/>
        <v>3.1980000000000004</v>
      </c>
      <c r="U281" s="9">
        <f t="shared" si="34"/>
        <v>0.92695652173913046</v>
      </c>
    </row>
    <row r="282" spans="1:21" x14ac:dyDescent="0.3">
      <c r="A282" s="1">
        <v>281</v>
      </c>
      <c r="B282" s="1" t="s">
        <v>450</v>
      </c>
      <c r="C282" s="4">
        <v>45337.504166666666</v>
      </c>
      <c r="D282" s="5">
        <f t="shared" si="28"/>
        <v>45337</v>
      </c>
      <c r="E282" s="3">
        <f t="shared" si="29"/>
        <v>12</v>
      </c>
      <c r="F282" s="1" t="str" cm="1">
        <f t="array" ref="F282">_xlfn.IFS(
E282&lt;11,"Morning",
E282&lt;15,"Afternoon",
TRUE,"Evening"
)</f>
        <v>Afternoon</v>
      </c>
      <c r="G282" s="3" t="str">
        <f t="shared" si="30"/>
        <v>Thu</v>
      </c>
      <c r="H282" s="1" t="s">
        <v>451</v>
      </c>
      <c r="I282" s="1" t="s">
        <v>146</v>
      </c>
      <c r="J282" s="1" t="s">
        <v>110</v>
      </c>
      <c r="K282" s="1" t="str">
        <f>_xlfn.XLOOKUP($J282, items_clean!$A:$A, items_clean!$B:$B, "")</f>
        <v>HDR-CRM-LG</v>
      </c>
      <c r="L282" s="1" t="str">
        <f>_xlfn.XLOOKUP($J282, items_clean!$A:$A, items_clean!$C:$C, "")</f>
        <v>Caramel Macchiato</v>
      </c>
      <c r="M282" s="1" t="str">
        <f>_xlfn.XLOOKUP($J282, items_clean!$A:$A, items_clean!$D:$D, "")</f>
        <v>Hot Drinks</v>
      </c>
      <c r="N282" s="1" t="str">
        <f>_xlfn.XLOOKUP($J282, items_clean!$A:$A, items_clean!$E:$E, "")</f>
        <v>Large</v>
      </c>
      <c r="O282" s="3">
        <v>1</v>
      </c>
      <c r="P282" s="2">
        <f>_xlfn.XLOOKUP($J282, items_clean!$A:$A, items_clean!$F:$F, "")</f>
        <v>4.5999999999999996</v>
      </c>
      <c r="Q282" s="2">
        <f t="shared" si="31"/>
        <v>4.5999999999999996</v>
      </c>
      <c r="R282" s="7">
        <f>_xlfn.XLOOKUP(K282, recipe_cost!$A:$A, recipe_cost!$B:$B, "")</f>
        <v>0.56669999999999998</v>
      </c>
      <c r="S282" s="10">
        <f t="shared" si="32"/>
        <v>0.56669999999999998</v>
      </c>
      <c r="T282" s="10">
        <f t="shared" si="33"/>
        <v>4.0332999999999997</v>
      </c>
      <c r="U282" s="9">
        <f t="shared" si="34"/>
        <v>0.87680434782608696</v>
      </c>
    </row>
    <row r="283" spans="1:21" x14ac:dyDescent="0.3">
      <c r="A283" s="1">
        <v>282</v>
      </c>
      <c r="B283" s="1" t="s">
        <v>452</v>
      </c>
      <c r="C283" s="4">
        <v>45337.508333333331</v>
      </c>
      <c r="D283" s="5">
        <f t="shared" si="28"/>
        <v>45337</v>
      </c>
      <c r="E283" s="3">
        <f t="shared" si="29"/>
        <v>12</v>
      </c>
      <c r="F283" s="1" t="str" cm="1">
        <f t="array" ref="F283">_xlfn.IFS(
E283&lt;11,"Morning",
E283&lt;15,"Afternoon",
TRUE,"Evening"
)</f>
        <v>Afternoon</v>
      </c>
      <c r="G283" s="3" t="str">
        <f t="shared" si="30"/>
        <v>Thu</v>
      </c>
      <c r="H283" s="1" t="s">
        <v>453</v>
      </c>
      <c r="I283" s="1" t="s">
        <v>149</v>
      </c>
      <c r="J283" s="1" t="s">
        <v>129</v>
      </c>
      <c r="K283" s="1" t="str">
        <f>_xlfn.XLOOKUP($J283, items_clean!$A:$A, items_clean!$B:$B, "")</f>
        <v>CDR-ICT-MD</v>
      </c>
      <c r="L283" s="1" t="str">
        <f>_xlfn.XLOOKUP($J283, items_clean!$A:$A, items_clean!$C:$C, "")</f>
        <v>Iced Tea</v>
      </c>
      <c r="M283" s="1" t="str">
        <f>_xlfn.XLOOKUP($J283, items_clean!$A:$A, items_clean!$D:$D, "")</f>
        <v>Cold Drinks</v>
      </c>
      <c r="N283" s="1" t="str">
        <f>_xlfn.XLOOKUP($J283, items_clean!$A:$A, items_clean!$E:$E, "")</f>
        <v>Medium</v>
      </c>
      <c r="O283" s="3">
        <v>1</v>
      </c>
      <c r="P283" s="2">
        <f>_xlfn.XLOOKUP($J283, items_clean!$A:$A, items_clean!$F:$F, "")</f>
        <v>3.25</v>
      </c>
      <c r="Q283" s="2">
        <f t="shared" si="31"/>
        <v>3.25</v>
      </c>
      <c r="R283" s="7">
        <f>_xlfn.XLOOKUP(K283, recipe_cost!$A:$A, recipe_cost!$B:$B, "")</f>
        <v>0.19</v>
      </c>
      <c r="S283" s="10">
        <f t="shared" si="32"/>
        <v>0.19</v>
      </c>
      <c r="T283" s="10">
        <f t="shared" si="33"/>
        <v>3.06</v>
      </c>
      <c r="U283" s="9">
        <f t="shared" si="34"/>
        <v>0.94153846153846155</v>
      </c>
    </row>
    <row r="284" spans="1:21" x14ac:dyDescent="0.3">
      <c r="A284" s="1">
        <v>283</v>
      </c>
      <c r="B284" s="1" t="s">
        <v>452</v>
      </c>
      <c r="C284" s="4">
        <v>45337.508333333331</v>
      </c>
      <c r="D284" s="5">
        <f t="shared" si="28"/>
        <v>45337</v>
      </c>
      <c r="E284" s="3">
        <f t="shared" si="29"/>
        <v>12</v>
      </c>
      <c r="F284" s="1" t="str" cm="1">
        <f t="array" ref="F284">_xlfn.IFS(
E284&lt;11,"Morning",
E284&lt;15,"Afternoon",
TRUE,"Evening"
)</f>
        <v>Afternoon</v>
      </c>
      <c r="G284" s="3" t="str">
        <f t="shared" si="30"/>
        <v>Thu</v>
      </c>
      <c r="H284" s="1" t="s">
        <v>453</v>
      </c>
      <c r="I284" s="1" t="s">
        <v>778</v>
      </c>
      <c r="J284" s="1" t="s">
        <v>135</v>
      </c>
      <c r="K284" s="1" t="str">
        <f>_xlfn.XLOOKUP($J284, items_clean!$A:$A, items_clean!$B:$B, "")</f>
        <v>SNK-SHC</v>
      </c>
      <c r="L284" s="1" t="str">
        <f>_xlfn.XLOOKUP($J284, items_clean!$A:$A, items_clean!$C:$C, "")</f>
        <v>Sandwich Ham&amp;Cheese</v>
      </c>
      <c r="M284" s="1" t="str">
        <f>_xlfn.XLOOKUP($J284, items_clean!$A:$A, items_clean!$D:$D, "")</f>
        <v>Snacks</v>
      </c>
      <c r="N284" s="1" t="str">
        <f>_xlfn.XLOOKUP($J284, items_clean!$A:$A, items_clean!$E:$E, "")</f>
        <v>N/A</v>
      </c>
      <c r="O284" s="3">
        <v>1</v>
      </c>
      <c r="P284" s="2">
        <f>_xlfn.XLOOKUP($J284, items_clean!$A:$A, items_clean!$F:$F, "")</f>
        <v>5.6</v>
      </c>
      <c r="Q284" s="2">
        <f t="shared" si="31"/>
        <v>5.6</v>
      </c>
      <c r="R284" s="7">
        <f>_xlfn.XLOOKUP(K284, recipe_cost!$A:$A, recipe_cost!$B:$B, "")</f>
        <v>2.0105</v>
      </c>
      <c r="S284" s="10">
        <f t="shared" si="32"/>
        <v>2.0105</v>
      </c>
      <c r="T284" s="10">
        <f t="shared" si="33"/>
        <v>3.5894999999999997</v>
      </c>
      <c r="U284" s="9">
        <f t="shared" si="34"/>
        <v>0.64098214285714283</v>
      </c>
    </row>
    <row r="285" spans="1:21" x14ac:dyDescent="0.3">
      <c r="A285" s="1">
        <v>284</v>
      </c>
      <c r="B285" s="1" t="s">
        <v>454</v>
      </c>
      <c r="C285" s="4">
        <v>45337.512499999997</v>
      </c>
      <c r="D285" s="5">
        <f t="shared" si="28"/>
        <v>45337</v>
      </c>
      <c r="E285" s="3">
        <f t="shared" si="29"/>
        <v>12</v>
      </c>
      <c r="F285" s="1" t="str" cm="1">
        <f t="array" ref="F285">_xlfn.IFS(
E285&lt;11,"Morning",
E285&lt;15,"Afternoon",
TRUE,"Evening"
)</f>
        <v>Afternoon</v>
      </c>
      <c r="G285" s="3" t="str">
        <f t="shared" si="30"/>
        <v>Thu</v>
      </c>
      <c r="H285" s="1" t="s">
        <v>455</v>
      </c>
      <c r="I285" s="1" t="s">
        <v>146</v>
      </c>
      <c r="J285" s="1" t="s">
        <v>100</v>
      </c>
      <c r="K285" s="1" t="str">
        <f>_xlfn.XLOOKUP($J285, items_clean!$A:$A, items_clean!$B:$B, "")</f>
        <v>HDR-CAP-LG</v>
      </c>
      <c r="L285" s="1" t="str">
        <f>_xlfn.XLOOKUP($J285, items_clean!$A:$A, items_clean!$C:$C, "")</f>
        <v>Cappuccino</v>
      </c>
      <c r="M285" s="1" t="str">
        <f>_xlfn.XLOOKUP($J285, items_clean!$A:$A, items_clean!$D:$D, "")</f>
        <v>Hot Drinks</v>
      </c>
      <c r="N285" s="1" t="str">
        <f>_xlfn.XLOOKUP($J285, items_clean!$A:$A, items_clean!$E:$E, "")</f>
        <v>Large</v>
      </c>
      <c r="O285" s="3">
        <v>1</v>
      </c>
      <c r="P285" s="2">
        <f>_xlfn.XLOOKUP($J285, items_clean!$A:$A, items_clean!$F:$F, "")</f>
        <v>3.75</v>
      </c>
      <c r="Q285" s="2">
        <f t="shared" si="31"/>
        <v>3.75</v>
      </c>
      <c r="R285" s="7">
        <f>_xlfn.XLOOKUP(K285, recipe_cost!$A:$A, recipe_cost!$B:$B, "")</f>
        <v>0.33599999999999997</v>
      </c>
      <c r="S285" s="10">
        <f t="shared" si="32"/>
        <v>0.33599999999999997</v>
      </c>
      <c r="T285" s="10">
        <f t="shared" si="33"/>
        <v>3.4140000000000001</v>
      </c>
      <c r="U285" s="9">
        <f t="shared" si="34"/>
        <v>0.91039999999999999</v>
      </c>
    </row>
    <row r="286" spans="1:21" x14ac:dyDescent="0.3">
      <c r="A286" s="1">
        <v>285</v>
      </c>
      <c r="B286" s="1" t="s">
        <v>456</v>
      </c>
      <c r="C286" s="4">
        <v>45337.51666666667</v>
      </c>
      <c r="D286" s="5">
        <f t="shared" si="28"/>
        <v>45337</v>
      </c>
      <c r="E286" s="3">
        <f t="shared" si="29"/>
        <v>12</v>
      </c>
      <c r="F286" s="1" t="str" cm="1">
        <f t="array" ref="F286">_xlfn.IFS(
E286&lt;11,"Morning",
E286&lt;15,"Afternoon",
TRUE,"Evening"
)</f>
        <v>Afternoon</v>
      </c>
      <c r="G286" s="3" t="str">
        <f t="shared" si="30"/>
        <v>Thu</v>
      </c>
      <c r="H286" s="1" t="s">
        <v>457</v>
      </c>
      <c r="I286" s="1" t="s">
        <v>149</v>
      </c>
      <c r="J286" s="1" t="s">
        <v>122</v>
      </c>
      <c r="K286" s="1" t="str">
        <f>_xlfn.XLOOKUP($J286, items_clean!$A:$A, items_clean!$B:$B, "")</f>
        <v>CDR-CCF-MD</v>
      </c>
      <c r="L286" s="1" t="str">
        <f>_xlfn.XLOOKUP($J286, items_clean!$A:$A, items_clean!$C:$C, "")</f>
        <v>Cold Coffee</v>
      </c>
      <c r="M286" s="1" t="str">
        <f>_xlfn.XLOOKUP($J286, items_clean!$A:$A, items_clean!$D:$D, "")</f>
        <v>Cold Drinks</v>
      </c>
      <c r="N286" s="1" t="str">
        <f>_xlfn.XLOOKUP($J286, items_clean!$A:$A, items_clean!$E:$E, "")</f>
        <v>Medium</v>
      </c>
      <c r="O286" s="3">
        <v>1</v>
      </c>
      <c r="P286" s="2">
        <f>_xlfn.XLOOKUP($J286, items_clean!$A:$A, items_clean!$F:$F, "")</f>
        <v>3.45</v>
      </c>
      <c r="Q286" s="2">
        <f t="shared" si="31"/>
        <v>3.45</v>
      </c>
      <c r="R286" s="7">
        <f>_xlfn.XLOOKUP(K286, recipe_cost!$A:$A, recipe_cost!$B:$B, "")</f>
        <v>0.252</v>
      </c>
      <c r="S286" s="10">
        <f t="shared" si="32"/>
        <v>0.252</v>
      </c>
      <c r="T286" s="10">
        <f t="shared" si="33"/>
        <v>3.1980000000000004</v>
      </c>
      <c r="U286" s="9">
        <f t="shared" si="34"/>
        <v>0.92695652173913046</v>
      </c>
    </row>
    <row r="287" spans="1:21" x14ac:dyDescent="0.3">
      <c r="A287" s="1">
        <v>286</v>
      </c>
      <c r="B287" s="1" t="s">
        <v>458</v>
      </c>
      <c r="C287" s="4">
        <v>45337.520833333336</v>
      </c>
      <c r="D287" s="5">
        <f t="shared" si="28"/>
        <v>45337</v>
      </c>
      <c r="E287" s="3">
        <f t="shared" si="29"/>
        <v>12</v>
      </c>
      <c r="F287" s="1" t="str" cm="1">
        <f t="array" ref="F287">_xlfn.IFS(
E287&lt;11,"Morning",
E287&lt;15,"Afternoon",
TRUE,"Evening"
)</f>
        <v>Afternoon</v>
      </c>
      <c r="G287" s="3" t="str">
        <f t="shared" si="30"/>
        <v>Thu</v>
      </c>
      <c r="H287" s="1" t="s">
        <v>459</v>
      </c>
      <c r="I287" s="1" t="s">
        <v>146</v>
      </c>
      <c r="J287" s="1" t="s">
        <v>115</v>
      </c>
      <c r="K287" s="1" t="str">
        <f>_xlfn.XLOOKUP($J287, items_clean!$A:$A, items_clean!$B:$B, "")</f>
        <v>HDR-MOC-LG</v>
      </c>
      <c r="L287" s="1" t="str">
        <f>_xlfn.XLOOKUP($J287, items_clean!$A:$A, items_clean!$C:$C, "")</f>
        <v>Mocha</v>
      </c>
      <c r="M287" s="1" t="str">
        <f>_xlfn.XLOOKUP($J287, items_clean!$A:$A, items_clean!$D:$D, "")</f>
        <v>Hot Drinks</v>
      </c>
      <c r="N287" s="1" t="str">
        <f>_xlfn.XLOOKUP($J287, items_clean!$A:$A, items_clean!$E:$E, "")</f>
        <v>Large</v>
      </c>
      <c r="O287" s="3">
        <v>1</v>
      </c>
      <c r="P287" s="2">
        <f>_xlfn.XLOOKUP($J287, items_clean!$A:$A, items_clean!$F:$F, "")</f>
        <v>4.5999999999999996</v>
      </c>
      <c r="Q287" s="2">
        <f t="shared" si="31"/>
        <v>4.5999999999999996</v>
      </c>
      <c r="R287" s="7">
        <f>_xlfn.XLOOKUP(K287, recipe_cost!$A:$A, recipe_cost!$B:$B, "")</f>
        <v>0.56669999999999998</v>
      </c>
      <c r="S287" s="10">
        <f t="shared" si="32"/>
        <v>0.56669999999999998</v>
      </c>
      <c r="T287" s="10">
        <f t="shared" si="33"/>
        <v>4.0332999999999997</v>
      </c>
      <c r="U287" s="9">
        <f t="shared" si="34"/>
        <v>0.87680434782608696</v>
      </c>
    </row>
    <row r="288" spans="1:21" x14ac:dyDescent="0.3">
      <c r="A288" s="1">
        <v>287</v>
      </c>
      <c r="B288" s="1" t="s">
        <v>462</v>
      </c>
      <c r="C288" s="4">
        <v>45337.529166666667</v>
      </c>
      <c r="D288" s="5">
        <f t="shared" si="28"/>
        <v>45337</v>
      </c>
      <c r="E288" s="3">
        <f t="shared" si="29"/>
        <v>12</v>
      </c>
      <c r="F288" s="1" t="str" cm="1">
        <f t="array" ref="F288">_xlfn.IFS(
E288&lt;11,"Morning",
E288&lt;15,"Afternoon",
TRUE,"Evening"
)</f>
        <v>Afternoon</v>
      </c>
      <c r="G288" s="3" t="str">
        <f t="shared" si="30"/>
        <v>Thu</v>
      </c>
      <c r="H288" s="1" t="s">
        <v>463</v>
      </c>
      <c r="I288" s="1" t="s">
        <v>146</v>
      </c>
      <c r="J288" s="1" t="s">
        <v>105</v>
      </c>
      <c r="K288" s="1" t="str">
        <f>_xlfn.XLOOKUP($J288, items_clean!$A:$A, items_clean!$B:$B, "")</f>
        <v>HDR-FLT</v>
      </c>
      <c r="L288" s="1" t="str">
        <f>_xlfn.XLOOKUP($J288, items_clean!$A:$A, items_clean!$C:$C, "")</f>
        <v>Flat White</v>
      </c>
      <c r="M288" s="1" t="str">
        <f>_xlfn.XLOOKUP($J288, items_clean!$A:$A, items_clean!$D:$D, "")</f>
        <v>Hot Drinks</v>
      </c>
      <c r="N288" s="1" t="str">
        <f>_xlfn.XLOOKUP($J288, items_clean!$A:$A, items_clean!$E:$E, "")</f>
        <v>N/A</v>
      </c>
      <c r="O288" s="3">
        <v>1</v>
      </c>
      <c r="P288" s="2">
        <f>_xlfn.XLOOKUP($J288, items_clean!$A:$A, items_clean!$F:$F, "")</f>
        <v>3.15</v>
      </c>
      <c r="Q288" s="2">
        <f t="shared" si="31"/>
        <v>3.15</v>
      </c>
      <c r="R288" s="7">
        <f>_xlfn.XLOOKUP(K288, recipe_cost!$A:$A, recipe_cost!$B:$B, "")</f>
        <v>0.28799999999999998</v>
      </c>
      <c r="S288" s="10">
        <f t="shared" si="32"/>
        <v>0.28799999999999998</v>
      </c>
      <c r="T288" s="10">
        <f t="shared" si="33"/>
        <v>2.8620000000000001</v>
      </c>
      <c r="U288" s="9">
        <f t="shared" si="34"/>
        <v>0.90857142857142859</v>
      </c>
    </row>
    <row r="289" spans="1:21" x14ac:dyDescent="0.3">
      <c r="A289" s="1">
        <v>288</v>
      </c>
      <c r="B289" s="1" t="s">
        <v>464</v>
      </c>
      <c r="C289" s="4">
        <v>45337.533333333333</v>
      </c>
      <c r="D289" s="5">
        <f t="shared" si="28"/>
        <v>45337</v>
      </c>
      <c r="E289" s="3">
        <f t="shared" si="29"/>
        <v>12</v>
      </c>
      <c r="F289" s="1" t="str" cm="1">
        <f t="array" ref="F289">_xlfn.IFS(
E289&lt;11,"Morning",
E289&lt;15,"Afternoon",
TRUE,"Evening"
)</f>
        <v>Afternoon</v>
      </c>
      <c r="G289" s="3" t="str">
        <f t="shared" si="30"/>
        <v>Thu</v>
      </c>
      <c r="H289" s="1" t="s">
        <v>163</v>
      </c>
      <c r="I289" s="1" t="s">
        <v>149</v>
      </c>
      <c r="J289" s="1" t="s">
        <v>119</v>
      </c>
      <c r="K289" s="1" t="str">
        <f>_xlfn.XLOOKUP($J289, items_clean!$A:$A, items_clean!$B:$B, "")</f>
        <v>HDR-HCH-MD</v>
      </c>
      <c r="L289" s="1" t="str">
        <f>_xlfn.XLOOKUP($J289, items_clean!$A:$A, items_clean!$C:$C, "")</f>
        <v>Hot Chocolate</v>
      </c>
      <c r="M289" s="1" t="str">
        <f>_xlfn.XLOOKUP($J289, items_clean!$A:$A, items_clean!$D:$D, "")</f>
        <v>Hot Drinks</v>
      </c>
      <c r="N289" s="1" t="str">
        <f>_xlfn.XLOOKUP($J289, items_clean!$A:$A, items_clean!$E:$E, "")</f>
        <v>Medium</v>
      </c>
      <c r="O289" s="3">
        <v>1</v>
      </c>
      <c r="P289" s="2">
        <f>_xlfn.XLOOKUP($J289, items_clean!$A:$A, items_clean!$F:$F, "")</f>
        <v>4.2</v>
      </c>
      <c r="Q289" s="2">
        <f t="shared" si="31"/>
        <v>4.2</v>
      </c>
      <c r="R289" s="7">
        <f>_xlfn.XLOOKUP(K289, recipe_cost!$A:$A, recipe_cost!$B:$B, "")</f>
        <v>1.0509999999999999</v>
      </c>
      <c r="S289" s="10">
        <f t="shared" si="32"/>
        <v>1.0509999999999999</v>
      </c>
      <c r="T289" s="10">
        <f t="shared" si="33"/>
        <v>3.149</v>
      </c>
      <c r="U289" s="9">
        <f t="shared" si="34"/>
        <v>0.74976190476190474</v>
      </c>
    </row>
    <row r="290" spans="1:21" x14ac:dyDescent="0.3">
      <c r="A290" s="1">
        <v>289</v>
      </c>
      <c r="B290" s="1" t="s">
        <v>465</v>
      </c>
      <c r="C290" s="4">
        <v>45337.537499999999</v>
      </c>
      <c r="D290" s="5">
        <f t="shared" si="28"/>
        <v>45337</v>
      </c>
      <c r="E290" s="3">
        <f t="shared" si="29"/>
        <v>12</v>
      </c>
      <c r="F290" s="1" t="str" cm="1">
        <f t="array" ref="F290">_xlfn.IFS(
E290&lt;11,"Morning",
E290&lt;15,"Afternoon",
TRUE,"Evening"
)</f>
        <v>Afternoon</v>
      </c>
      <c r="G290" s="3" t="str">
        <f t="shared" si="30"/>
        <v>Thu</v>
      </c>
      <c r="H290" s="1" t="s">
        <v>159</v>
      </c>
      <c r="I290" s="1" t="s">
        <v>146</v>
      </c>
      <c r="J290" s="1" t="s">
        <v>131</v>
      </c>
      <c r="K290" s="1" t="str">
        <f>_xlfn.XLOOKUP($J290, items_clean!$A:$A, items_clean!$B:$B, "")</f>
        <v>CDR-ICT-LG</v>
      </c>
      <c r="L290" s="1" t="str">
        <f>_xlfn.XLOOKUP($J290, items_clean!$A:$A, items_clean!$C:$C, "")</f>
        <v>Iced Tea</v>
      </c>
      <c r="M290" s="1" t="str">
        <f>_xlfn.XLOOKUP($J290, items_clean!$A:$A, items_clean!$D:$D, "")</f>
        <v>Cold Drinks</v>
      </c>
      <c r="N290" s="1" t="str">
        <f>_xlfn.XLOOKUP($J290, items_clean!$A:$A, items_clean!$E:$E, "")</f>
        <v>Large</v>
      </c>
      <c r="O290" s="3">
        <v>1</v>
      </c>
      <c r="P290" s="2">
        <f>_xlfn.XLOOKUP($J290, items_clean!$A:$A, items_clean!$F:$F, "")</f>
        <v>3.55</v>
      </c>
      <c r="Q290" s="2">
        <f t="shared" si="31"/>
        <v>3.55</v>
      </c>
      <c r="R290" s="7">
        <f>_xlfn.XLOOKUP(K290, recipe_cost!$A:$A, recipe_cost!$B:$B, "")</f>
        <v>0.26984999999999998</v>
      </c>
      <c r="S290" s="10">
        <f t="shared" si="32"/>
        <v>0.26984999999999998</v>
      </c>
      <c r="T290" s="10">
        <f t="shared" si="33"/>
        <v>3.2801499999999999</v>
      </c>
      <c r="U290" s="9">
        <f t="shared" si="34"/>
        <v>0.92398591549295772</v>
      </c>
    </row>
    <row r="291" spans="1:21" x14ac:dyDescent="0.3">
      <c r="A291" s="1">
        <v>290</v>
      </c>
      <c r="B291" s="1" t="s">
        <v>465</v>
      </c>
      <c r="C291" s="4">
        <v>45337.537499999999</v>
      </c>
      <c r="D291" s="5">
        <f t="shared" si="28"/>
        <v>45337</v>
      </c>
      <c r="E291" s="3">
        <f t="shared" si="29"/>
        <v>12</v>
      </c>
      <c r="F291" s="1" t="str" cm="1">
        <f t="array" ref="F291">_xlfn.IFS(
E291&lt;11,"Morning",
E291&lt;15,"Afternoon",
TRUE,"Evening"
)</f>
        <v>Afternoon</v>
      </c>
      <c r="G291" s="3" t="str">
        <f t="shared" si="30"/>
        <v>Thu</v>
      </c>
      <c r="H291" s="1" t="s">
        <v>159</v>
      </c>
      <c r="I291" s="1" t="s">
        <v>778</v>
      </c>
      <c r="J291" s="1" t="s">
        <v>111</v>
      </c>
      <c r="K291" s="1" t="str">
        <f>_xlfn.XLOOKUP($J291, items_clean!$A:$A, items_clean!$B:$B, "")</f>
        <v>HDR-ESP</v>
      </c>
      <c r="L291" s="1" t="str">
        <f>_xlfn.XLOOKUP($J291, items_clean!$A:$A, items_clean!$C:$C, "")</f>
        <v>Espresso</v>
      </c>
      <c r="M291" s="1" t="str">
        <f>_xlfn.XLOOKUP($J291, items_clean!$A:$A, items_clean!$D:$D, "")</f>
        <v>Hot Drinks</v>
      </c>
      <c r="N291" s="1" t="str">
        <f>_xlfn.XLOOKUP($J291, items_clean!$A:$A, items_clean!$E:$E, "")</f>
        <v>N/A</v>
      </c>
      <c r="O291" s="3">
        <v>1</v>
      </c>
      <c r="P291" s="2">
        <f>_xlfn.XLOOKUP($J291, items_clean!$A:$A, items_clean!$F:$F, "")</f>
        <v>2.15</v>
      </c>
      <c r="Q291" s="2">
        <f t="shared" si="31"/>
        <v>2.15</v>
      </c>
      <c r="R291" s="7">
        <f>_xlfn.XLOOKUP(K291, recipe_cost!$A:$A, recipe_cost!$B:$B, "")</f>
        <v>9.6000000000000002E-2</v>
      </c>
      <c r="S291" s="10">
        <f t="shared" si="32"/>
        <v>9.6000000000000002E-2</v>
      </c>
      <c r="T291" s="10">
        <f t="shared" si="33"/>
        <v>2.0539999999999998</v>
      </c>
      <c r="U291" s="9">
        <f t="shared" si="34"/>
        <v>0.9553488372093023</v>
      </c>
    </row>
    <row r="292" spans="1:21" x14ac:dyDescent="0.3">
      <c r="A292" s="1">
        <v>291</v>
      </c>
      <c r="B292" s="1" t="s">
        <v>466</v>
      </c>
      <c r="C292" s="4">
        <v>45337.541666666664</v>
      </c>
      <c r="D292" s="5">
        <f t="shared" si="28"/>
        <v>45337</v>
      </c>
      <c r="E292" s="3">
        <f t="shared" si="29"/>
        <v>13</v>
      </c>
      <c r="F292" s="1" t="str" cm="1">
        <f t="array" ref="F292">_xlfn.IFS(
E292&lt;11,"Morning",
E292&lt;15,"Afternoon",
TRUE,"Evening"
)</f>
        <v>Afternoon</v>
      </c>
      <c r="G292" s="3" t="str">
        <f t="shared" si="30"/>
        <v>Thu</v>
      </c>
      <c r="H292" s="1" t="s">
        <v>249</v>
      </c>
      <c r="I292" s="1" t="s">
        <v>149</v>
      </c>
      <c r="J292" s="1" t="s">
        <v>138</v>
      </c>
      <c r="K292" s="1" t="str">
        <f>_xlfn.XLOOKUP($J292, items_clean!$A:$A, items_clean!$B:$B, "")</f>
        <v>SNK-SSM</v>
      </c>
      <c r="L292" s="1" t="str">
        <f>_xlfn.XLOOKUP($J292, items_clean!$A:$A, items_clean!$C:$C, "")</f>
        <v>Sandwich Salami&amp;Mozzarella</v>
      </c>
      <c r="M292" s="1" t="str">
        <f>_xlfn.XLOOKUP($J292, items_clean!$A:$A, items_clean!$D:$D, "")</f>
        <v>Snacks</v>
      </c>
      <c r="N292" s="1" t="str">
        <f>_xlfn.XLOOKUP($J292, items_clean!$A:$A, items_clean!$E:$E, "")</f>
        <v>N/A</v>
      </c>
      <c r="O292" s="3">
        <v>1</v>
      </c>
      <c r="P292" s="2">
        <f>_xlfn.XLOOKUP($J292, items_clean!$A:$A, items_clean!$F:$F, "")</f>
        <v>5.5</v>
      </c>
      <c r="Q292" s="2">
        <f t="shared" si="31"/>
        <v>5.5</v>
      </c>
      <c r="R292" s="7">
        <f>_xlfn.XLOOKUP(K292, recipe_cost!$A:$A, recipe_cost!$B:$B, "")</f>
        <v>1.3120000000000001</v>
      </c>
      <c r="S292" s="10">
        <f t="shared" si="32"/>
        <v>1.3120000000000001</v>
      </c>
      <c r="T292" s="10">
        <f t="shared" si="33"/>
        <v>4.1879999999999997</v>
      </c>
      <c r="U292" s="9">
        <f t="shared" si="34"/>
        <v>0.76145454545454538</v>
      </c>
    </row>
    <row r="293" spans="1:21" x14ac:dyDescent="0.3">
      <c r="A293" s="1">
        <v>292</v>
      </c>
      <c r="B293" s="1" t="s">
        <v>467</v>
      </c>
      <c r="C293" s="4">
        <v>45337.54583333333</v>
      </c>
      <c r="D293" s="5">
        <f t="shared" si="28"/>
        <v>45337</v>
      </c>
      <c r="E293" s="3">
        <f t="shared" si="29"/>
        <v>13</v>
      </c>
      <c r="F293" s="1" t="str" cm="1">
        <f t="array" ref="F293">_xlfn.IFS(
E293&lt;11,"Morning",
E293&lt;15,"Afternoon",
TRUE,"Evening"
)</f>
        <v>Afternoon</v>
      </c>
      <c r="G293" s="3" t="str">
        <f t="shared" si="30"/>
        <v>Thu</v>
      </c>
      <c r="H293" s="1" t="s">
        <v>428</v>
      </c>
      <c r="I293" s="1" t="s">
        <v>146</v>
      </c>
      <c r="J293" s="1" t="s">
        <v>116</v>
      </c>
      <c r="K293" s="1" t="str">
        <f>_xlfn.XLOOKUP($J293, items_clean!$A:$A, items_clean!$B:$B, "")</f>
        <v>HDR-WMO-MD</v>
      </c>
      <c r="L293" s="1" t="str">
        <f>_xlfn.XLOOKUP($J293, items_clean!$A:$A, items_clean!$C:$C, "")</f>
        <v>White Mocha</v>
      </c>
      <c r="M293" s="1" t="str">
        <f>_xlfn.XLOOKUP($J293, items_clean!$A:$A, items_clean!$D:$D, "")</f>
        <v>Hot Drinks</v>
      </c>
      <c r="N293" s="1" t="str">
        <f>_xlfn.XLOOKUP($J293, items_clean!$A:$A, items_clean!$E:$E, "")</f>
        <v>Medium</v>
      </c>
      <c r="O293" s="3">
        <v>1</v>
      </c>
      <c r="P293" s="2">
        <f>_xlfn.XLOOKUP($J293, items_clean!$A:$A, items_clean!$F:$F, "")</f>
        <v>4.5</v>
      </c>
      <c r="Q293" s="2">
        <f t="shared" si="31"/>
        <v>4.5</v>
      </c>
      <c r="R293" s="7">
        <f>_xlfn.XLOOKUP(K293, recipe_cost!$A:$A, recipe_cost!$B:$B, "")</f>
        <v>0.4098</v>
      </c>
      <c r="S293" s="10">
        <f t="shared" si="32"/>
        <v>0.4098</v>
      </c>
      <c r="T293" s="10">
        <f t="shared" si="33"/>
        <v>4.0902000000000003</v>
      </c>
      <c r="U293" s="9">
        <f t="shared" si="34"/>
        <v>0.90893333333333337</v>
      </c>
    </row>
    <row r="294" spans="1:21" x14ac:dyDescent="0.3">
      <c r="A294" s="1">
        <v>293</v>
      </c>
      <c r="B294" s="1" t="s">
        <v>468</v>
      </c>
      <c r="C294" s="4">
        <v>45337.55</v>
      </c>
      <c r="D294" s="5">
        <f t="shared" si="28"/>
        <v>45337</v>
      </c>
      <c r="E294" s="3">
        <f t="shared" si="29"/>
        <v>13</v>
      </c>
      <c r="F294" s="1" t="str" cm="1">
        <f t="array" ref="F294">_xlfn.IFS(
E294&lt;11,"Morning",
E294&lt;15,"Afternoon",
TRUE,"Evening"
)</f>
        <v>Afternoon</v>
      </c>
      <c r="G294" s="3" t="str">
        <f t="shared" si="30"/>
        <v>Thu</v>
      </c>
      <c r="H294" s="1" t="s">
        <v>430</v>
      </c>
      <c r="I294" s="1" t="s">
        <v>149</v>
      </c>
      <c r="J294" s="1" t="s">
        <v>126</v>
      </c>
      <c r="K294" s="1" t="str">
        <f>_xlfn.XLOOKUP($J294, items_clean!$A:$A, items_clean!$B:$B, "")</f>
        <v>CDR-CMO-MD</v>
      </c>
      <c r="L294" s="1" t="str">
        <f>_xlfn.XLOOKUP($J294, items_clean!$A:$A, items_clean!$C:$C, "")</f>
        <v>Cold Mocha</v>
      </c>
      <c r="M294" s="1" t="str">
        <f>_xlfn.XLOOKUP($J294, items_clean!$A:$A, items_clean!$D:$D, "")</f>
        <v>Cold Drinks</v>
      </c>
      <c r="N294" s="1" t="str">
        <f>_xlfn.XLOOKUP($J294, items_clean!$A:$A, items_clean!$E:$E, "")</f>
        <v>Medium</v>
      </c>
      <c r="O294" s="3">
        <v>1</v>
      </c>
      <c r="P294" s="2">
        <f>_xlfn.XLOOKUP($J294, items_clean!$A:$A, items_clean!$F:$F, "")</f>
        <v>4</v>
      </c>
      <c r="Q294" s="2">
        <f t="shared" si="31"/>
        <v>4</v>
      </c>
      <c r="R294" s="7">
        <f>_xlfn.XLOOKUP(K294, recipe_cost!$A:$A, recipe_cost!$B:$B, "")</f>
        <v>0.4098</v>
      </c>
      <c r="S294" s="10">
        <f t="shared" si="32"/>
        <v>0.4098</v>
      </c>
      <c r="T294" s="10">
        <f t="shared" si="33"/>
        <v>3.5901999999999998</v>
      </c>
      <c r="U294" s="9">
        <f t="shared" si="34"/>
        <v>0.89754999999999996</v>
      </c>
    </row>
    <row r="295" spans="1:21" x14ac:dyDescent="0.3">
      <c r="A295" s="1">
        <v>294</v>
      </c>
      <c r="B295" s="1" t="s">
        <v>469</v>
      </c>
      <c r="C295" s="4">
        <v>45337.554166666669</v>
      </c>
      <c r="D295" s="5">
        <f t="shared" si="28"/>
        <v>45337</v>
      </c>
      <c r="E295" s="3">
        <f t="shared" si="29"/>
        <v>13</v>
      </c>
      <c r="F295" s="1" t="str" cm="1">
        <f t="array" ref="F295">_xlfn.IFS(
E295&lt;11,"Morning",
E295&lt;15,"Afternoon",
TRUE,"Evening"
)</f>
        <v>Afternoon</v>
      </c>
      <c r="G295" s="3" t="str">
        <f t="shared" si="30"/>
        <v>Thu</v>
      </c>
      <c r="H295" s="1" t="s">
        <v>432</v>
      </c>
      <c r="I295" s="1" t="s">
        <v>146</v>
      </c>
      <c r="J295" s="1" t="s">
        <v>102</v>
      </c>
      <c r="K295" s="1" t="str">
        <f>_xlfn.XLOOKUP($J295, items_clean!$A:$A, items_clean!$B:$B, "")</f>
        <v>HDR-LAT-MD</v>
      </c>
      <c r="L295" s="1" t="str">
        <f>_xlfn.XLOOKUP($J295, items_clean!$A:$A, items_clean!$C:$C, "")</f>
        <v>Latte</v>
      </c>
      <c r="M295" s="1" t="str">
        <f>_xlfn.XLOOKUP($J295, items_clean!$A:$A, items_clean!$D:$D, "")</f>
        <v>Hot Drinks</v>
      </c>
      <c r="N295" s="1" t="str">
        <f>_xlfn.XLOOKUP($J295, items_clean!$A:$A, items_clean!$E:$E, "")</f>
        <v>Medium</v>
      </c>
      <c r="O295" s="3">
        <v>1</v>
      </c>
      <c r="P295" s="2">
        <f>_xlfn.XLOOKUP($J295, items_clean!$A:$A, items_clean!$F:$F, "")</f>
        <v>3.45</v>
      </c>
      <c r="Q295" s="2">
        <f t="shared" si="31"/>
        <v>3.45</v>
      </c>
      <c r="R295" s="7">
        <f>_xlfn.XLOOKUP(K295, recipe_cost!$A:$A, recipe_cost!$B:$B, "")</f>
        <v>0.252</v>
      </c>
      <c r="S295" s="10">
        <f t="shared" si="32"/>
        <v>0.252</v>
      </c>
      <c r="T295" s="10">
        <f t="shared" si="33"/>
        <v>3.1980000000000004</v>
      </c>
      <c r="U295" s="9">
        <f t="shared" si="34"/>
        <v>0.92695652173913046</v>
      </c>
    </row>
    <row r="296" spans="1:21" x14ac:dyDescent="0.3">
      <c r="A296" s="1">
        <v>295</v>
      </c>
      <c r="B296" s="1" t="s">
        <v>470</v>
      </c>
      <c r="C296" s="4">
        <v>45337.558333333334</v>
      </c>
      <c r="D296" s="5">
        <f t="shared" si="28"/>
        <v>45337</v>
      </c>
      <c r="E296" s="3">
        <f t="shared" si="29"/>
        <v>13</v>
      </c>
      <c r="F296" s="1" t="str" cm="1">
        <f t="array" ref="F296">_xlfn.IFS(
E296&lt;11,"Morning",
E296&lt;15,"Afternoon",
TRUE,"Evening"
)</f>
        <v>Afternoon</v>
      </c>
      <c r="G296" s="3" t="str">
        <f t="shared" si="30"/>
        <v>Thu</v>
      </c>
      <c r="H296" s="1" t="s">
        <v>434</v>
      </c>
      <c r="I296" s="1" t="s">
        <v>149</v>
      </c>
      <c r="J296" s="1" t="s">
        <v>121</v>
      </c>
      <c r="K296" s="1" t="str">
        <f>_xlfn.XLOOKUP($J296, items_clean!$A:$A, items_clean!$B:$B, "")</f>
        <v>HDR-HCH-LG</v>
      </c>
      <c r="L296" s="1" t="str">
        <f>_xlfn.XLOOKUP($J296, items_clean!$A:$A, items_clean!$C:$C, "")</f>
        <v>Hot Chocolate</v>
      </c>
      <c r="M296" s="1" t="str">
        <f>_xlfn.XLOOKUP($J296, items_clean!$A:$A, items_clean!$D:$D, "")</f>
        <v>Hot Drinks</v>
      </c>
      <c r="N296" s="1" t="str">
        <f>_xlfn.XLOOKUP($J296, items_clean!$A:$A, items_clean!$E:$E, "")</f>
        <v>Large</v>
      </c>
      <c r="O296" s="3">
        <v>1</v>
      </c>
      <c r="P296" s="2">
        <f>_xlfn.XLOOKUP($J296, items_clean!$A:$A, items_clean!$F:$F, "")</f>
        <v>4.5999999999999996</v>
      </c>
      <c r="Q296" s="2">
        <f t="shared" si="31"/>
        <v>4.5999999999999996</v>
      </c>
      <c r="R296" s="7">
        <f>_xlfn.XLOOKUP(K296, recipe_cost!$A:$A, recipe_cost!$B:$B, "")</f>
        <v>1.4809999999999999</v>
      </c>
      <c r="S296" s="10">
        <f t="shared" si="32"/>
        <v>1.4809999999999999</v>
      </c>
      <c r="T296" s="10">
        <f t="shared" si="33"/>
        <v>3.1189999999999998</v>
      </c>
      <c r="U296" s="9">
        <f t="shared" si="34"/>
        <v>0.67804347826086953</v>
      </c>
    </row>
    <row r="297" spans="1:21" x14ac:dyDescent="0.3">
      <c r="A297" s="1">
        <v>296</v>
      </c>
      <c r="B297" s="1" t="s">
        <v>471</v>
      </c>
      <c r="C297" s="4">
        <v>45337.5625</v>
      </c>
      <c r="D297" s="5">
        <f t="shared" si="28"/>
        <v>45337</v>
      </c>
      <c r="E297" s="3">
        <f t="shared" si="29"/>
        <v>13</v>
      </c>
      <c r="F297" s="1" t="str" cm="1">
        <f t="array" ref="F297">_xlfn.IFS(
E297&lt;11,"Morning",
E297&lt;15,"Afternoon",
TRUE,"Evening"
)</f>
        <v>Afternoon</v>
      </c>
      <c r="G297" s="3" t="str">
        <f t="shared" si="30"/>
        <v>Thu</v>
      </c>
      <c r="H297" s="1" t="s">
        <v>472</v>
      </c>
      <c r="I297" s="1" t="s">
        <v>146</v>
      </c>
      <c r="J297" s="1" t="s">
        <v>96</v>
      </c>
      <c r="K297" s="1" t="str">
        <f>_xlfn.XLOOKUP($J297, items_clean!$A:$A, items_clean!$B:$B, "")</f>
        <v>HDR-CAP-MD</v>
      </c>
      <c r="L297" s="1" t="str">
        <f>_xlfn.XLOOKUP($J297, items_clean!$A:$A, items_clean!$C:$C, "")</f>
        <v>Cappuccino</v>
      </c>
      <c r="M297" s="1" t="str">
        <f>_xlfn.XLOOKUP($J297, items_clean!$A:$A, items_clean!$D:$D, "")</f>
        <v>Hot Drinks</v>
      </c>
      <c r="N297" s="1" t="str">
        <f>_xlfn.XLOOKUP($J297, items_clean!$A:$A, items_clean!$E:$E, "")</f>
        <v>Medium</v>
      </c>
      <c r="O297" s="3">
        <v>1</v>
      </c>
      <c r="P297" s="2">
        <f>_xlfn.XLOOKUP($J297, items_clean!$A:$A, items_clean!$F:$F, "")</f>
        <v>3.45</v>
      </c>
      <c r="Q297" s="2">
        <f t="shared" si="31"/>
        <v>3.45</v>
      </c>
      <c r="R297" s="7">
        <f>_xlfn.XLOOKUP(K297, recipe_cost!$A:$A, recipe_cost!$B:$B, "")</f>
        <v>0.252</v>
      </c>
      <c r="S297" s="10">
        <f t="shared" si="32"/>
        <v>0.252</v>
      </c>
      <c r="T297" s="10">
        <f t="shared" si="33"/>
        <v>3.1980000000000004</v>
      </c>
      <c r="U297" s="9">
        <f t="shared" si="34"/>
        <v>0.92695652173913046</v>
      </c>
    </row>
    <row r="298" spans="1:21" x14ac:dyDescent="0.3">
      <c r="A298" s="1">
        <v>297</v>
      </c>
      <c r="B298" s="1" t="s">
        <v>473</v>
      </c>
      <c r="C298" s="4">
        <v>45337.566666666666</v>
      </c>
      <c r="D298" s="5">
        <f t="shared" si="28"/>
        <v>45337</v>
      </c>
      <c r="E298" s="3">
        <f t="shared" si="29"/>
        <v>13</v>
      </c>
      <c r="F298" s="1" t="str" cm="1">
        <f t="array" ref="F298">_xlfn.IFS(
E298&lt;11,"Morning",
E298&lt;15,"Afternoon",
TRUE,"Evening"
)</f>
        <v>Afternoon</v>
      </c>
      <c r="G298" s="3" t="str">
        <f t="shared" si="30"/>
        <v>Thu</v>
      </c>
      <c r="H298" s="1" t="s">
        <v>474</v>
      </c>
      <c r="I298" s="1" t="s">
        <v>149</v>
      </c>
      <c r="J298" s="1" t="s">
        <v>113</v>
      </c>
      <c r="K298" s="1" t="str">
        <f>_xlfn.XLOOKUP($J298, items_clean!$A:$A, items_clean!$B:$B, "")</f>
        <v>HDR-MOC-MD</v>
      </c>
      <c r="L298" s="1" t="str">
        <f>_xlfn.XLOOKUP($J298, items_clean!$A:$A, items_clean!$C:$C, "")</f>
        <v>Mocha</v>
      </c>
      <c r="M298" s="1" t="str">
        <f>_xlfn.XLOOKUP($J298, items_clean!$A:$A, items_clean!$D:$D, "")</f>
        <v>Hot Drinks</v>
      </c>
      <c r="N298" s="1" t="str">
        <f>_xlfn.XLOOKUP($J298, items_clean!$A:$A, items_clean!$E:$E, "")</f>
        <v>Medium</v>
      </c>
      <c r="O298" s="3">
        <v>1</v>
      </c>
      <c r="P298" s="2">
        <f>_xlfn.XLOOKUP($J298, items_clean!$A:$A, items_clean!$F:$F, "")</f>
        <v>4</v>
      </c>
      <c r="Q298" s="2">
        <f t="shared" si="31"/>
        <v>4</v>
      </c>
      <c r="R298" s="7">
        <f>_xlfn.XLOOKUP(K298, recipe_cost!$A:$A, recipe_cost!$B:$B, "")</f>
        <v>0.4098</v>
      </c>
      <c r="S298" s="10">
        <f t="shared" si="32"/>
        <v>0.4098</v>
      </c>
      <c r="T298" s="10">
        <f t="shared" si="33"/>
        <v>3.5901999999999998</v>
      </c>
      <c r="U298" s="9">
        <f t="shared" si="34"/>
        <v>0.89754999999999996</v>
      </c>
    </row>
    <row r="299" spans="1:21" x14ac:dyDescent="0.3">
      <c r="A299" s="1">
        <v>298</v>
      </c>
      <c r="B299" s="1" t="s">
        <v>475</v>
      </c>
      <c r="C299" s="4">
        <v>45337.570833333331</v>
      </c>
      <c r="D299" s="5">
        <f t="shared" si="28"/>
        <v>45337</v>
      </c>
      <c r="E299" s="3">
        <f t="shared" si="29"/>
        <v>13</v>
      </c>
      <c r="F299" s="1" t="str" cm="1">
        <f t="array" ref="F299">_xlfn.IFS(
E299&lt;11,"Morning",
E299&lt;15,"Afternoon",
TRUE,"Evening"
)</f>
        <v>Afternoon</v>
      </c>
      <c r="G299" s="3" t="str">
        <f t="shared" si="30"/>
        <v>Thu</v>
      </c>
      <c r="H299" s="1" t="s">
        <v>476</v>
      </c>
      <c r="I299" s="1" t="s">
        <v>146</v>
      </c>
      <c r="J299" s="1" t="s">
        <v>128</v>
      </c>
      <c r="K299" s="1" t="str">
        <f>_xlfn.XLOOKUP($J299, items_clean!$A:$A, items_clean!$B:$B, "")</f>
        <v>CDR-CMO-LG</v>
      </c>
      <c r="L299" s="1" t="str">
        <f>_xlfn.XLOOKUP($J299, items_clean!$A:$A, items_clean!$C:$C, "")</f>
        <v>Cold Mocha</v>
      </c>
      <c r="M299" s="1" t="str">
        <f>_xlfn.XLOOKUP($J299, items_clean!$A:$A, items_clean!$D:$D, "")</f>
        <v>Cold Drinks</v>
      </c>
      <c r="N299" s="1" t="str">
        <f>_xlfn.XLOOKUP($J299, items_clean!$A:$A, items_clean!$E:$E, "")</f>
        <v>Large</v>
      </c>
      <c r="O299" s="3">
        <v>1</v>
      </c>
      <c r="P299" s="2">
        <f>_xlfn.XLOOKUP($J299, items_clean!$A:$A, items_clean!$F:$F, "")</f>
        <v>4.5999999999999996</v>
      </c>
      <c r="Q299" s="2">
        <f t="shared" si="31"/>
        <v>4.5999999999999996</v>
      </c>
      <c r="R299" s="7">
        <f>_xlfn.XLOOKUP(K299, recipe_cost!$A:$A, recipe_cost!$B:$B, "")</f>
        <v>0.56669999999999998</v>
      </c>
      <c r="S299" s="10">
        <f t="shared" si="32"/>
        <v>0.56669999999999998</v>
      </c>
      <c r="T299" s="10">
        <f t="shared" si="33"/>
        <v>4.0332999999999997</v>
      </c>
      <c r="U299" s="9">
        <f t="shared" si="34"/>
        <v>0.87680434782608696</v>
      </c>
    </row>
    <row r="300" spans="1:21" x14ac:dyDescent="0.3">
      <c r="A300" s="1">
        <v>299</v>
      </c>
      <c r="B300" s="1" t="s">
        <v>477</v>
      </c>
      <c r="C300" s="4">
        <v>45337.574999999997</v>
      </c>
      <c r="D300" s="5">
        <f t="shared" si="28"/>
        <v>45337</v>
      </c>
      <c r="E300" s="3">
        <f t="shared" si="29"/>
        <v>13</v>
      </c>
      <c r="F300" s="1" t="str" cm="1">
        <f t="array" ref="F300">_xlfn.IFS(
E300&lt;11,"Morning",
E300&lt;15,"Afternoon",
TRUE,"Evening"
)</f>
        <v>Afternoon</v>
      </c>
      <c r="G300" s="3" t="str">
        <f t="shared" si="30"/>
        <v>Thu</v>
      </c>
      <c r="H300" s="1" t="s">
        <v>478</v>
      </c>
      <c r="I300" s="1" t="s">
        <v>149</v>
      </c>
      <c r="J300" s="1" t="s">
        <v>104</v>
      </c>
      <c r="K300" s="1" t="str">
        <f>_xlfn.XLOOKUP($J300, items_clean!$A:$A, items_clean!$B:$B, "")</f>
        <v>HDR-LAT-LG</v>
      </c>
      <c r="L300" s="1" t="str">
        <f>_xlfn.XLOOKUP($J300, items_clean!$A:$A, items_clean!$C:$C, "")</f>
        <v>Latte</v>
      </c>
      <c r="M300" s="1" t="str">
        <f>_xlfn.XLOOKUP($J300, items_clean!$A:$A, items_clean!$D:$D, "")</f>
        <v>Hot Drinks</v>
      </c>
      <c r="N300" s="1" t="str">
        <f>_xlfn.XLOOKUP($J300, items_clean!$A:$A, items_clean!$E:$E, "")</f>
        <v>Large</v>
      </c>
      <c r="O300" s="3">
        <v>1</v>
      </c>
      <c r="P300" s="2">
        <f>_xlfn.XLOOKUP($J300, items_clean!$A:$A, items_clean!$F:$F, "")</f>
        <v>3.75</v>
      </c>
      <c r="Q300" s="2">
        <f t="shared" si="31"/>
        <v>3.75</v>
      </c>
      <c r="R300" s="7">
        <f>_xlfn.XLOOKUP(K300, recipe_cost!$A:$A, recipe_cost!$B:$B, "")</f>
        <v>0.33599999999999997</v>
      </c>
      <c r="S300" s="10">
        <f t="shared" si="32"/>
        <v>0.33599999999999997</v>
      </c>
      <c r="T300" s="10">
        <f t="shared" si="33"/>
        <v>3.4140000000000001</v>
      </c>
      <c r="U300" s="9">
        <f t="shared" si="34"/>
        <v>0.91039999999999999</v>
      </c>
    </row>
    <row r="301" spans="1:21" x14ac:dyDescent="0.3">
      <c r="A301" s="1">
        <v>300</v>
      </c>
      <c r="B301" s="1" t="s">
        <v>479</v>
      </c>
      <c r="C301" s="4">
        <v>45337.57916666667</v>
      </c>
      <c r="D301" s="5">
        <f t="shared" si="28"/>
        <v>45337</v>
      </c>
      <c r="E301" s="3">
        <f t="shared" si="29"/>
        <v>13</v>
      </c>
      <c r="F301" s="1" t="str" cm="1">
        <f t="array" ref="F301">_xlfn.IFS(
E301&lt;11,"Morning",
E301&lt;15,"Afternoon",
TRUE,"Evening"
)</f>
        <v>Afternoon</v>
      </c>
      <c r="G301" s="3" t="str">
        <f t="shared" si="30"/>
        <v>Thu</v>
      </c>
      <c r="H301" s="1" t="s">
        <v>480</v>
      </c>
      <c r="I301" s="1" t="s">
        <v>146</v>
      </c>
      <c r="J301" s="1" t="s">
        <v>132</v>
      </c>
      <c r="K301" s="1" t="str">
        <f>_xlfn.XLOOKUP($J301, items_clean!$A:$A, items_clean!$B:$B, "")</f>
        <v>CDR-LMN-MD</v>
      </c>
      <c r="L301" s="1" t="str">
        <f>_xlfn.XLOOKUP($J301, items_clean!$A:$A, items_clean!$C:$C, "")</f>
        <v>Lemonade</v>
      </c>
      <c r="M301" s="1" t="str">
        <f>_xlfn.XLOOKUP($J301, items_clean!$A:$A, items_clean!$D:$D, "")</f>
        <v>Cold Drinks</v>
      </c>
      <c r="N301" s="1" t="str">
        <f>_xlfn.XLOOKUP($J301, items_clean!$A:$A, items_clean!$E:$E, "")</f>
        <v>Medium</v>
      </c>
      <c r="O301" s="3">
        <v>1</v>
      </c>
      <c r="P301" s="2">
        <f>_xlfn.XLOOKUP($J301, items_clean!$A:$A, items_clean!$F:$F, "")</f>
        <v>3.35</v>
      </c>
      <c r="Q301" s="2">
        <f t="shared" si="31"/>
        <v>3.35</v>
      </c>
      <c r="R301" s="7">
        <f>_xlfn.XLOOKUP(K301, recipe_cost!$A:$A, recipe_cost!$B:$B, "")</f>
        <v>0.34499999999999997</v>
      </c>
      <c r="S301" s="10">
        <f t="shared" si="32"/>
        <v>0.34499999999999997</v>
      </c>
      <c r="T301" s="10">
        <f t="shared" si="33"/>
        <v>3.0049999999999999</v>
      </c>
      <c r="U301" s="9">
        <f t="shared" si="34"/>
        <v>0.89701492537313432</v>
      </c>
    </row>
    <row r="302" spans="1:21" x14ac:dyDescent="0.3">
      <c r="A302" s="1">
        <v>301</v>
      </c>
      <c r="B302" s="1" t="s">
        <v>481</v>
      </c>
      <c r="C302" s="4">
        <v>45337.583333333336</v>
      </c>
      <c r="D302" s="5">
        <f t="shared" si="28"/>
        <v>45337</v>
      </c>
      <c r="E302" s="3">
        <f t="shared" si="29"/>
        <v>14</v>
      </c>
      <c r="F302" s="1" t="str" cm="1">
        <f t="array" ref="F302">_xlfn.IFS(
E302&lt;11,"Morning",
E302&lt;15,"Afternoon",
TRUE,"Evening"
)</f>
        <v>Afternoon</v>
      </c>
      <c r="G302" s="3" t="str">
        <f t="shared" si="30"/>
        <v>Thu</v>
      </c>
      <c r="H302" s="1" t="s">
        <v>482</v>
      </c>
      <c r="I302" s="1" t="s">
        <v>149</v>
      </c>
      <c r="J302" s="1" t="s">
        <v>108</v>
      </c>
      <c r="K302" s="1" t="str">
        <f>_xlfn.XLOOKUP($J302, items_clean!$A:$A, items_clean!$B:$B, "")</f>
        <v>HDR-CRM-MD</v>
      </c>
      <c r="L302" s="1" t="str">
        <f>_xlfn.XLOOKUP($J302, items_clean!$A:$A, items_clean!$C:$C, "")</f>
        <v>Caramel Macchiato</v>
      </c>
      <c r="M302" s="1" t="str">
        <f>_xlfn.XLOOKUP($J302, items_clean!$A:$A, items_clean!$D:$D, "")</f>
        <v>Hot Drinks</v>
      </c>
      <c r="N302" s="1" t="str">
        <f>_xlfn.XLOOKUP($J302, items_clean!$A:$A, items_clean!$E:$E, "")</f>
        <v>Medium</v>
      </c>
      <c r="O302" s="3">
        <v>1</v>
      </c>
      <c r="P302" s="2">
        <f>_xlfn.XLOOKUP($J302, items_clean!$A:$A, items_clean!$F:$F, "")</f>
        <v>4.2</v>
      </c>
      <c r="Q302" s="2">
        <f t="shared" si="31"/>
        <v>4.2</v>
      </c>
      <c r="R302" s="7">
        <f>_xlfn.XLOOKUP(K302, recipe_cost!$A:$A, recipe_cost!$B:$B, "")</f>
        <v>0.4098</v>
      </c>
      <c r="S302" s="10">
        <f t="shared" si="32"/>
        <v>0.4098</v>
      </c>
      <c r="T302" s="10">
        <f t="shared" si="33"/>
        <v>3.7902</v>
      </c>
      <c r="U302" s="9">
        <f t="shared" si="34"/>
        <v>0.90242857142857136</v>
      </c>
    </row>
    <row r="303" spans="1:21" x14ac:dyDescent="0.3">
      <c r="A303" s="1">
        <v>302</v>
      </c>
      <c r="B303" s="1" t="s">
        <v>483</v>
      </c>
      <c r="C303" s="4">
        <v>45337.587500000001</v>
      </c>
      <c r="D303" s="5">
        <f t="shared" si="28"/>
        <v>45337</v>
      </c>
      <c r="E303" s="3">
        <f t="shared" si="29"/>
        <v>14</v>
      </c>
      <c r="F303" s="1" t="str" cm="1">
        <f t="array" ref="F303">_xlfn.IFS(
E303&lt;11,"Morning",
E303&lt;15,"Afternoon",
TRUE,"Evening"
)</f>
        <v>Afternoon</v>
      </c>
      <c r="G303" s="3" t="str">
        <f t="shared" si="30"/>
        <v>Thu</v>
      </c>
      <c r="H303" s="1" t="s">
        <v>484</v>
      </c>
      <c r="I303" s="1" t="s">
        <v>146</v>
      </c>
      <c r="J303" s="1" t="s">
        <v>134</v>
      </c>
      <c r="K303" s="1" t="str">
        <f>_xlfn.XLOOKUP($J303, items_clean!$A:$A, items_clean!$B:$B, "")</f>
        <v>CDR-LMN-LG</v>
      </c>
      <c r="L303" s="1" t="str">
        <f>_xlfn.XLOOKUP($J303, items_clean!$A:$A, items_clean!$C:$C, "")</f>
        <v>Lemonade</v>
      </c>
      <c r="M303" s="1" t="str">
        <f>_xlfn.XLOOKUP($J303, items_clean!$A:$A, items_clean!$D:$D, "")</f>
        <v>Cold Drinks</v>
      </c>
      <c r="N303" s="1" t="str">
        <f>_xlfn.XLOOKUP($J303, items_clean!$A:$A, items_clean!$E:$E, "")</f>
        <v>Large</v>
      </c>
      <c r="O303" s="3">
        <v>1</v>
      </c>
      <c r="P303" s="2">
        <f>_xlfn.XLOOKUP($J303, items_clean!$A:$A, items_clean!$F:$F, "")</f>
        <v>3.75</v>
      </c>
      <c r="Q303" s="2">
        <f t="shared" si="31"/>
        <v>3.75</v>
      </c>
      <c r="R303" s="7">
        <f>_xlfn.XLOOKUP(K303, recipe_cost!$A:$A, recipe_cost!$B:$B, "")</f>
        <v>0.36</v>
      </c>
      <c r="S303" s="10">
        <f t="shared" si="32"/>
        <v>0.36</v>
      </c>
      <c r="T303" s="10">
        <f t="shared" si="33"/>
        <v>3.39</v>
      </c>
      <c r="U303" s="9">
        <f t="shared" si="34"/>
        <v>0.90400000000000003</v>
      </c>
    </row>
    <row r="304" spans="1:21" x14ac:dyDescent="0.3">
      <c r="A304" s="1">
        <v>303</v>
      </c>
      <c r="B304" s="1" t="s">
        <v>485</v>
      </c>
      <c r="C304" s="4">
        <v>45337.591666666667</v>
      </c>
      <c r="D304" s="5">
        <f t="shared" si="28"/>
        <v>45337</v>
      </c>
      <c r="E304" s="3">
        <f t="shared" si="29"/>
        <v>14</v>
      </c>
      <c r="F304" s="1" t="str" cm="1">
        <f t="array" ref="F304">_xlfn.IFS(
E304&lt;11,"Morning",
E304&lt;15,"Afternoon",
TRUE,"Evening"
)</f>
        <v>Afternoon</v>
      </c>
      <c r="G304" s="3" t="str">
        <f t="shared" si="30"/>
        <v>Thu</v>
      </c>
      <c r="H304" s="1" t="s">
        <v>486</v>
      </c>
      <c r="I304" s="1" t="s">
        <v>149</v>
      </c>
      <c r="J304" s="1" t="s">
        <v>118</v>
      </c>
      <c r="K304" s="1" t="str">
        <f>_xlfn.XLOOKUP($J304, items_clean!$A:$A, items_clean!$B:$B, "")</f>
        <v>HDR-WMO-LG</v>
      </c>
      <c r="L304" s="1" t="str">
        <f>_xlfn.XLOOKUP($J304, items_clean!$A:$A, items_clean!$C:$C, "")</f>
        <v>White Mocha</v>
      </c>
      <c r="M304" s="1" t="str">
        <f>_xlfn.XLOOKUP($J304, items_clean!$A:$A, items_clean!$D:$D, "")</f>
        <v>Hot Drinks</v>
      </c>
      <c r="N304" s="1" t="str">
        <f>_xlfn.XLOOKUP($J304, items_clean!$A:$A, items_clean!$E:$E, "")</f>
        <v>Large</v>
      </c>
      <c r="O304" s="3">
        <v>1</v>
      </c>
      <c r="P304" s="2">
        <f>_xlfn.XLOOKUP($J304, items_clean!$A:$A, items_clean!$F:$F, "")</f>
        <v>4.7</v>
      </c>
      <c r="Q304" s="2">
        <f t="shared" si="31"/>
        <v>4.7</v>
      </c>
      <c r="R304" s="7">
        <f>_xlfn.XLOOKUP(K304, recipe_cost!$A:$A, recipe_cost!$B:$B, "")</f>
        <v>0.56669999999999998</v>
      </c>
      <c r="S304" s="10">
        <f t="shared" si="32"/>
        <v>0.56669999999999998</v>
      </c>
      <c r="T304" s="10">
        <f t="shared" si="33"/>
        <v>4.1333000000000002</v>
      </c>
      <c r="U304" s="9">
        <f t="shared" si="34"/>
        <v>0.87942553191489359</v>
      </c>
    </row>
    <row r="305" spans="1:21" x14ac:dyDescent="0.3">
      <c r="A305" s="1">
        <v>304</v>
      </c>
      <c r="B305" s="1" t="s">
        <v>488</v>
      </c>
      <c r="C305" s="4">
        <v>45337.599999999999</v>
      </c>
      <c r="D305" s="5">
        <f t="shared" si="28"/>
        <v>45337</v>
      </c>
      <c r="E305" s="3">
        <f t="shared" si="29"/>
        <v>14</v>
      </c>
      <c r="F305" s="1" t="str" cm="1">
        <f t="array" ref="F305">_xlfn.IFS(
E305&lt;11,"Morning",
E305&lt;15,"Afternoon",
TRUE,"Evening"
)</f>
        <v>Afternoon</v>
      </c>
      <c r="G305" s="3" t="str">
        <f t="shared" si="30"/>
        <v>Thu</v>
      </c>
      <c r="H305" s="1" t="s">
        <v>489</v>
      </c>
      <c r="I305" s="1" t="s">
        <v>149</v>
      </c>
      <c r="J305" s="1" t="s">
        <v>125</v>
      </c>
      <c r="K305" s="1" t="str">
        <f>_xlfn.XLOOKUP($J305, items_clean!$A:$A, items_clean!$B:$B, "")</f>
        <v>CDR-CCF-LG</v>
      </c>
      <c r="L305" s="1" t="str">
        <f>_xlfn.XLOOKUP($J305, items_clean!$A:$A, items_clean!$C:$C, "")</f>
        <v>Cold Coffee</v>
      </c>
      <c r="M305" s="1" t="str">
        <f>_xlfn.XLOOKUP($J305, items_clean!$A:$A, items_clean!$D:$D, "")</f>
        <v>Cold Drinks</v>
      </c>
      <c r="N305" s="1" t="str">
        <f>_xlfn.XLOOKUP($J305, items_clean!$A:$A, items_clean!$E:$E, "")</f>
        <v>Large</v>
      </c>
      <c r="O305" s="3">
        <v>1</v>
      </c>
      <c r="P305" s="2">
        <f>_xlfn.XLOOKUP($J305, items_clean!$A:$A, items_clean!$F:$F, "")</f>
        <v>3.75</v>
      </c>
      <c r="Q305" s="2">
        <f t="shared" si="31"/>
        <v>3.75</v>
      </c>
      <c r="R305" s="7">
        <f>_xlfn.XLOOKUP(K305, recipe_cost!$A:$A, recipe_cost!$B:$B, "")</f>
        <v>0.33599999999999997</v>
      </c>
      <c r="S305" s="10">
        <f t="shared" si="32"/>
        <v>0.33599999999999997</v>
      </c>
      <c r="T305" s="10">
        <f t="shared" si="33"/>
        <v>3.4140000000000001</v>
      </c>
      <c r="U305" s="9">
        <f t="shared" si="34"/>
        <v>0.91039999999999999</v>
      </c>
    </row>
    <row r="306" spans="1:21" x14ac:dyDescent="0.3">
      <c r="A306" s="1">
        <v>305</v>
      </c>
      <c r="B306" s="1" t="s">
        <v>492</v>
      </c>
      <c r="C306" s="4">
        <v>45337.60833333333</v>
      </c>
      <c r="D306" s="5">
        <f t="shared" si="28"/>
        <v>45337</v>
      </c>
      <c r="E306" s="3">
        <f t="shared" si="29"/>
        <v>14</v>
      </c>
      <c r="F306" s="1" t="str" cm="1">
        <f t="array" ref="F306">_xlfn.IFS(
E306&lt;11,"Morning",
E306&lt;15,"Afternoon",
TRUE,"Evening"
)</f>
        <v>Afternoon</v>
      </c>
      <c r="G306" s="3" t="str">
        <f t="shared" si="30"/>
        <v>Thu</v>
      </c>
      <c r="H306" s="1" t="s">
        <v>493</v>
      </c>
      <c r="I306" s="1" t="s">
        <v>149</v>
      </c>
      <c r="J306" s="1" t="s">
        <v>111</v>
      </c>
      <c r="K306" s="1" t="str">
        <f>_xlfn.XLOOKUP($J306, items_clean!$A:$A, items_clean!$B:$B, "")</f>
        <v>HDR-ESP</v>
      </c>
      <c r="L306" s="1" t="str">
        <f>_xlfn.XLOOKUP($J306, items_clean!$A:$A, items_clean!$C:$C, "")</f>
        <v>Espresso</v>
      </c>
      <c r="M306" s="1" t="str">
        <f>_xlfn.XLOOKUP($J306, items_clean!$A:$A, items_clean!$D:$D, "")</f>
        <v>Hot Drinks</v>
      </c>
      <c r="N306" s="1" t="str">
        <f>_xlfn.XLOOKUP($J306, items_clean!$A:$A, items_clean!$E:$E, "")</f>
        <v>N/A</v>
      </c>
      <c r="O306" s="3">
        <v>1</v>
      </c>
      <c r="P306" s="2">
        <f>_xlfn.XLOOKUP($J306, items_clean!$A:$A, items_clean!$F:$F, "")</f>
        <v>2.15</v>
      </c>
      <c r="Q306" s="2">
        <f t="shared" si="31"/>
        <v>2.15</v>
      </c>
      <c r="R306" s="7">
        <f>_xlfn.XLOOKUP(K306, recipe_cost!$A:$A, recipe_cost!$B:$B, "")</f>
        <v>9.6000000000000002E-2</v>
      </c>
      <c r="S306" s="10">
        <f t="shared" si="32"/>
        <v>9.6000000000000002E-2</v>
      </c>
      <c r="T306" s="10">
        <f t="shared" si="33"/>
        <v>2.0539999999999998</v>
      </c>
      <c r="U306" s="9">
        <f t="shared" si="34"/>
        <v>0.9553488372093023</v>
      </c>
    </row>
    <row r="307" spans="1:21" x14ac:dyDescent="0.3">
      <c r="A307" s="1">
        <v>306</v>
      </c>
      <c r="B307" s="1" t="s">
        <v>494</v>
      </c>
      <c r="C307" s="4">
        <v>45337.619444444441</v>
      </c>
      <c r="D307" s="5">
        <f t="shared" si="28"/>
        <v>45337</v>
      </c>
      <c r="E307" s="3">
        <f t="shared" si="29"/>
        <v>14</v>
      </c>
      <c r="F307" s="1" t="str" cm="1">
        <f t="array" ref="F307">_xlfn.IFS(
E307&lt;11,"Morning",
E307&lt;15,"Afternoon",
TRUE,"Evening"
)</f>
        <v>Afternoon</v>
      </c>
      <c r="G307" s="3" t="str">
        <f t="shared" si="30"/>
        <v>Thu</v>
      </c>
      <c r="H307" s="1" t="s">
        <v>451</v>
      </c>
      <c r="I307" s="1" t="s">
        <v>146</v>
      </c>
      <c r="J307" s="1" t="s">
        <v>100</v>
      </c>
      <c r="K307" s="1" t="str">
        <f>_xlfn.XLOOKUP($J307, items_clean!$A:$A, items_clean!$B:$B, "")</f>
        <v>HDR-CAP-LG</v>
      </c>
      <c r="L307" s="1" t="str">
        <f>_xlfn.XLOOKUP($J307, items_clean!$A:$A, items_clean!$C:$C, "")</f>
        <v>Cappuccino</v>
      </c>
      <c r="M307" s="1" t="str">
        <f>_xlfn.XLOOKUP($J307, items_clean!$A:$A, items_clean!$D:$D, "")</f>
        <v>Hot Drinks</v>
      </c>
      <c r="N307" s="1" t="str">
        <f>_xlfn.XLOOKUP($J307, items_clean!$A:$A, items_clean!$E:$E, "")</f>
        <v>Large</v>
      </c>
      <c r="O307" s="3">
        <v>1</v>
      </c>
      <c r="P307" s="2">
        <f>_xlfn.XLOOKUP($J307, items_clean!$A:$A, items_clean!$F:$F, "")</f>
        <v>3.75</v>
      </c>
      <c r="Q307" s="2">
        <f t="shared" si="31"/>
        <v>3.75</v>
      </c>
      <c r="R307" s="7">
        <f>_xlfn.XLOOKUP(K307, recipe_cost!$A:$A, recipe_cost!$B:$B, "")</f>
        <v>0.33599999999999997</v>
      </c>
      <c r="S307" s="10">
        <f t="shared" si="32"/>
        <v>0.33599999999999997</v>
      </c>
      <c r="T307" s="10">
        <f t="shared" si="33"/>
        <v>3.4140000000000001</v>
      </c>
      <c r="U307" s="9">
        <f t="shared" si="34"/>
        <v>0.91039999999999999</v>
      </c>
    </row>
    <row r="308" spans="1:21" x14ac:dyDescent="0.3">
      <c r="A308" s="1">
        <v>307</v>
      </c>
      <c r="B308" s="1" t="s">
        <v>495</v>
      </c>
      <c r="C308" s="4">
        <v>45337.630555555559</v>
      </c>
      <c r="D308" s="5">
        <f t="shared" si="28"/>
        <v>45337</v>
      </c>
      <c r="E308" s="3">
        <f t="shared" si="29"/>
        <v>15</v>
      </c>
      <c r="F308" s="1" t="str" cm="1">
        <f t="array" ref="F308">_xlfn.IFS(
E308&lt;11,"Morning",
E308&lt;15,"Afternoon",
TRUE,"Evening"
)</f>
        <v>Evening</v>
      </c>
      <c r="G308" s="3" t="str">
        <f t="shared" si="30"/>
        <v>Thu</v>
      </c>
      <c r="H308" s="1" t="s">
        <v>496</v>
      </c>
      <c r="I308" s="1" t="s">
        <v>149</v>
      </c>
      <c r="J308" s="1" t="s">
        <v>126</v>
      </c>
      <c r="K308" s="1" t="str">
        <f>_xlfn.XLOOKUP($J308, items_clean!$A:$A, items_clean!$B:$B, "")</f>
        <v>CDR-CMO-MD</v>
      </c>
      <c r="L308" s="1" t="str">
        <f>_xlfn.XLOOKUP($J308, items_clean!$A:$A, items_clean!$C:$C, "")</f>
        <v>Cold Mocha</v>
      </c>
      <c r="M308" s="1" t="str">
        <f>_xlfn.XLOOKUP($J308, items_clean!$A:$A, items_clean!$D:$D, "")</f>
        <v>Cold Drinks</v>
      </c>
      <c r="N308" s="1" t="str">
        <f>_xlfn.XLOOKUP($J308, items_clean!$A:$A, items_clean!$E:$E, "")</f>
        <v>Medium</v>
      </c>
      <c r="O308" s="3">
        <v>1</v>
      </c>
      <c r="P308" s="2">
        <f>_xlfn.XLOOKUP($J308, items_clean!$A:$A, items_clean!$F:$F, "")</f>
        <v>4</v>
      </c>
      <c r="Q308" s="2">
        <f t="shared" si="31"/>
        <v>4</v>
      </c>
      <c r="R308" s="7">
        <f>_xlfn.XLOOKUP(K308, recipe_cost!$A:$A, recipe_cost!$B:$B, "")</f>
        <v>0.4098</v>
      </c>
      <c r="S308" s="10">
        <f t="shared" si="32"/>
        <v>0.4098</v>
      </c>
      <c r="T308" s="10">
        <f t="shared" si="33"/>
        <v>3.5901999999999998</v>
      </c>
      <c r="U308" s="9">
        <f t="shared" si="34"/>
        <v>0.89754999999999996</v>
      </c>
    </row>
    <row r="309" spans="1:21" x14ac:dyDescent="0.3">
      <c r="A309" s="1">
        <v>308</v>
      </c>
      <c r="B309" s="1" t="s">
        <v>497</v>
      </c>
      <c r="C309" s="4">
        <v>45337.64166666667</v>
      </c>
      <c r="D309" s="5">
        <f t="shared" si="28"/>
        <v>45337</v>
      </c>
      <c r="E309" s="3">
        <f t="shared" si="29"/>
        <v>15</v>
      </c>
      <c r="F309" s="1" t="str" cm="1">
        <f t="array" ref="F309">_xlfn.IFS(
E309&lt;11,"Morning",
E309&lt;15,"Afternoon",
TRUE,"Evening"
)</f>
        <v>Evening</v>
      </c>
      <c r="G309" s="3" t="str">
        <f t="shared" si="30"/>
        <v>Thu</v>
      </c>
      <c r="H309" s="1" t="s">
        <v>498</v>
      </c>
      <c r="I309" s="1" t="s">
        <v>146</v>
      </c>
      <c r="J309" s="1" t="s">
        <v>116</v>
      </c>
      <c r="K309" s="1" t="str">
        <f>_xlfn.XLOOKUP($J309, items_clean!$A:$A, items_clean!$B:$B, "")</f>
        <v>HDR-WMO-MD</v>
      </c>
      <c r="L309" s="1" t="str">
        <f>_xlfn.XLOOKUP($J309, items_clean!$A:$A, items_clean!$C:$C, "")</f>
        <v>White Mocha</v>
      </c>
      <c r="M309" s="1" t="str">
        <f>_xlfn.XLOOKUP($J309, items_clean!$A:$A, items_clean!$D:$D, "")</f>
        <v>Hot Drinks</v>
      </c>
      <c r="N309" s="1" t="str">
        <f>_xlfn.XLOOKUP($J309, items_clean!$A:$A, items_clean!$E:$E, "")</f>
        <v>Medium</v>
      </c>
      <c r="O309" s="3">
        <v>1</v>
      </c>
      <c r="P309" s="2">
        <f>_xlfn.XLOOKUP($J309, items_clean!$A:$A, items_clean!$F:$F, "")</f>
        <v>4.5</v>
      </c>
      <c r="Q309" s="2">
        <f t="shared" si="31"/>
        <v>4.5</v>
      </c>
      <c r="R309" s="7">
        <f>_xlfn.XLOOKUP(K309, recipe_cost!$A:$A, recipe_cost!$B:$B, "")</f>
        <v>0.4098</v>
      </c>
      <c r="S309" s="10">
        <f t="shared" si="32"/>
        <v>0.4098</v>
      </c>
      <c r="T309" s="10">
        <f t="shared" si="33"/>
        <v>4.0902000000000003</v>
      </c>
      <c r="U309" s="9">
        <f t="shared" si="34"/>
        <v>0.90893333333333337</v>
      </c>
    </row>
    <row r="310" spans="1:21" x14ac:dyDescent="0.3">
      <c r="A310" s="1">
        <v>309</v>
      </c>
      <c r="B310" s="1" t="s">
        <v>499</v>
      </c>
      <c r="C310" s="4">
        <v>45337.652777777781</v>
      </c>
      <c r="D310" s="5">
        <f t="shared" si="28"/>
        <v>45337</v>
      </c>
      <c r="E310" s="3">
        <f t="shared" si="29"/>
        <v>15</v>
      </c>
      <c r="F310" s="1" t="str" cm="1">
        <f t="array" ref="F310">_xlfn.IFS(
E310&lt;11,"Morning",
E310&lt;15,"Afternoon",
TRUE,"Evening"
)</f>
        <v>Evening</v>
      </c>
      <c r="G310" s="3" t="str">
        <f t="shared" si="30"/>
        <v>Thu</v>
      </c>
      <c r="H310" s="1" t="s">
        <v>457</v>
      </c>
      <c r="I310" s="1" t="s">
        <v>149</v>
      </c>
      <c r="J310" s="1" t="s">
        <v>138</v>
      </c>
      <c r="K310" s="1" t="str">
        <f>_xlfn.XLOOKUP($J310, items_clean!$A:$A, items_clean!$B:$B, "")</f>
        <v>SNK-SSM</v>
      </c>
      <c r="L310" s="1" t="str">
        <f>_xlfn.XLOOKUP($J310, items_clean!$A:$A, items_clean!$C:$C, "")</f>
        <v>Sandwich Salami&amp;Mozzarella</v>
      </c>
      <c r="M310" s="1" t="str">
        <f>_xlfn.XLOOKUP($J310, items_clean!$A:$A, items_clean!$D:$D, "")</f>
        <v>Snacks</v>
      </c>
      <c r="N310" s="1" t="str">
        <f>_xlfn.XLOOKUP($J310, items_clean!$A:$A, items_clean!$E:$E, "")</f>
        <v>N/A</v>
      </c>
      <c r="O310" s="3">
        <v>1</v>
      </c>
      <c r="P310" s="2">
        <f>_xlfn.XLOOKUP($J310, items_clean!$A:$A, items_clean!$F:$F, "")</f>
        <v>5.5</v>
      </c>
      <c r="Q310" s="2">
        <f t="shared" si="31"/>
        <v>5.5</v>
      </c>
      <c r="R310" s="7">
        <f>_xlfn.XLOOKUP(K310, recipe_cost!$A:$A, recipe_cost!$B:$B, "")</f>
        <v>1.3120000000000001</v>
      </c>
      <c r="S310" s="10">
        <f t="shared" si="32"/>
        <v>1.3120000000000001</v>
      </c>
      <c r="T310" s="10">
        <f t="shared" si="33"/>
        <v>4.1879999999999997</v>
      </c>
      <c r="U310" s="9">
        <f t="shared" si="34"/>
        <v>0.76145454545454538</v>
      </c>
    </row>
    <row r="311" spans="1:21" x14ac:dyDescent="0.3">
      <c r="A311" s="1">
        <v>310</v>
      </c>
      <c r="B311" s="1" t="s">
        <v>500</v>
      </c>
      <c r="C311" s="4">
        <v>45337.663888888892</v>
      </c>
      <c r="D311" s="5">
        <f t="shared" si="28"/>
        <v>45337</v>
      </c>
      <c r="E311" s="3">
        <f t="shared" si="29"/>
        <v>15</v>
      </c>
      <c r="F311" s="1" t="str" cm="1">
        <f t="array" ref="F311">_xlfn.IFS(
E311&lt;11,"Morning",
E311&lt;15,"Afternoon",
TRUE,"Evening"
)</f>
        <v>Evening</v>
      </c>
      <c r="G311" s="3" t="str">
        <f t="shared" si="30"/>
        <v>Thu</v>
      </c>
      <c r="H311" s="1" t="s">
        <v>501</v>
      </c>
      <c r="I311" s="1" t="s">
        <v>146</v>
      </c>
      <c r="J311" s="1" t="s">
        <v>105</v>
      </c>
      <c r="K311" s="1" t="str">
        <f>_xlfn.XLOOKUP($J311, items_clean!$A:$A, items_clean!$B:$B, "")</f>
        <v>HDR-FLT</v>
      </c>
      <c r="L311" s="1" t="str">
        <f>_xlfn.XLOOKUP($J311, items_clean!$A:$A, items_clean!$C:$C, "")</f>
        <v>Flat White</v>
      </c>
      <c r="M311" s="1" t="str">
        <f>_xlfn.XLOOKUP($J311, items_clean!$A:$A, items_clean!$D:$D, "")</f>
        <v>Hot Drinks</v>
      </c>
      <c r="N311" s="1" t="str">
        <f>_xlfn.XLOOKUP($J311, items_clean!$A:$A, items_clean!$E:$E, "")</f>
        <v>N/A</v>
      </c>
      <c r="O311" s="3">
        <v>1</v>
      </c>
      <c r="P311" s="2">
        <f>_xlfn.XLOOKUP($J311, items_clean!$A:$A, items_clean!$F:$F, "")</f>
        <v>3.15</v>
      </c>
      <c r="Q311" s="2">
        <f t="shared" si="31"/>
        <v>3.15</v>
      </c>
      <c r="R311" s="7">
        <f>_xlfn.XLOOKUP(K311, recipe_cost!$A:$A, recipe_cost!$B:$B, "")</f>
        <v>0.28799999999999998</v>
      </c>
      <c r="S311" s="10">
        <f t="shared" si="32"/>
        <v>0.28799999999999998</v>
      </c>
      <c r="T311" s="10">
        <f t="shared" si="33"/>
        <v>2.8620000000000001</v>
      </c>
      <c r="U311" s="9">
        <f t="shared" si="34"/>
        <v>0.90857142857142859</v>
      </c>
    </row>
    <row r="312" spans="1:21" x14ac:dyDescent="0.3">
      <c r="A312" s="1">
        <v>311</v>
      </c>
      <c r="B312" s="1" t="s">
        <v>502</v>
      </c>
      <c r="C312" s="4">
        <v>45337.675000000003</v>
      </c>
      <c r="D312" s="5">
        <f t="shared" si="28"/>
        <v>45337</v>
      </c>
      <c r="E312" s="3">
        <f t="shared" si="29"/>
        <v>16</v>
      </c>
      <c r="F312" s="1" t="str" cm="1">
        <f t="array" ref="F312">_xlfn.IFS(
E312&lt;11,"Morning",
E312&lt;15,"Afternoon",
TRUE,"Evening"
)</f>
        <v>Evening</v>
      </c>
      <c r="G312" s="3" t="str">
        <f t="shared" si="30"/>
        <v>Thu</v>
      </c>
      <c r="H312" s="1" t="s">
        <v>503</v>
      </c>
      <c r="I312" s="1" t="s">
        <v>149</v>
      </c>
      <c r="J312" s="1" t="s">
        <v>131</v>
      </c>
      <c r="K312" s="1" t="str">
        <f>_xlfn.XLOOKUP($J312, items_clean!$A:$A, items_clean!$B:$B, "")</f>
        <v>CDR-ICT-LG</v>
      </c>
      <c r="L312" s="1" t="str">
        <f>_xlfn.XLOOKUP($J312, items_clean!$A:$A, items_clean!$C:$C, "")</f>
        <v>Iced Tea</v>
      </c>
      <c r="M312" s="1" t="str">
        <f>_xlfn.XLOOKUP($J312, items_clean!$A:$A, items_clean!$D:$D, "")</f>
        <v>Cold Drinks</v>
      </c>
      <c r="N312" s="1" t="str">
        <f>_xlfn.XLOOKUP($J312, items_clean!$A:$A, items_clean!$E:$E, "")</f>
        <v>Large</v>
      </c>
      <c r="O312" s="3">
        <v>1</v>
      </c>
      <c r="P312" s="2">
        <f>_xlfn.XLOOKUP($J312, items_clean!$A:$A, items_clean!$F:$F, "")</f>
        <v>3.55</v>
      </c>
      <c r="Q312" s="2">
        <f t="shared" si="31"/>
        <v>3.55</v>
      </c>
      <c r="R312" s="7">
        <f>_xlfn.XLOOKUP(K312, recipe_cost!$A:$A, recipe_cost!$B:$B, "")</f>
        <v>0.26984999999999998</v>
      </c>
      <c r="S312" s="10">
        <f t="shared" si="32"/>
        <v>0.26984999999999998</v>
      </c>
      <c r="T312" s="10">
        <f t="shared" si="33"/>
        <v>3.2801499999999999</v>
      </c>
      <c r="U312" s="9">
        <f t="shared" si="34"/>
        <v>0.92398591549295772</v>
      </c>
    </row>
    <row r="313" spans="1:21" x14ac:dyDescent="0.3">
      <c r="A313" s="1">
        <v>312</v>
      </c>
      <c r="B313" s="1" t="s">
        <v>504</v>
      </c>
      <c r="C313" s="4">
        <v>45337.686111111114</v>
      </c>
      <c r="D313" s="5">
        <f t="shared" si="28"/>
        <v>45337</v>
      </c>
      <c r="E313" s="3">
        <f t="shared" si="29"/>
        <v>16</v>
      </c>
      <c r="F313" s="1" t="str" cm="1">
        <f t="array" ref="F313">_xlfn.IFS(
E313&lt;11,"Morning",
E313&lt;15,"Afternoon",
TRUE,"Evening"
)</f>
        <v>Evening</v>
      </c>
      <c r="G313" s="3" t="str">
        <f t="shared" si="30"/>
        <v>Thu</v>
      </c>
      <c r="H313" s="1" t="s">
        <v>505</v>
      </c>
      <c r="I313" s="1" t="s">
        <v>146</v>
      </c>
      <c r="J313" s="1" t="s">
        <v>121</v>
      </c>
      <c r="K313" s="1" t="str">
        <f>_xlfn.XLOOKUP($J313, items_clean!$A:$A, items_clean!$B:$B, "")</f>
        <v>HDR-HCH-LG</v>
      </c>
      <c r="L313" s="1" t="str">
        <f>_xlfn.XLOOKUP($J313, items_clean!$A:$A, items_clean!$C:$C, "")</f>
        <v>Hot Chocolate</v>
      </c>
      <c r="M313" s="1" t="str">
        <f>_xlfn.XLOOKUP($J313, items_clean!$A:$A, items_clean!$D:$D, "")</f>
        <v>Hot Drinks</v>
      </c>
      <c r="N313" s="1" t="str">
        <f>_xlfn.XLOOKUP($J313, items_clean!$A:$A, items_clean!$E:$E, "")</f>
        <v>Large</v>
      </c>
      <c r="O313" s="3">
        <v>1</v>
      </c>
      <c r="P313" s="2">
        <f>_xlfn.XLOOKUP($J313, items_clean!$A:$A, items_clean!$F:$F, "")</f>
        <v>4.5999999999999996</v>
      </c>
      <c r="Q313" s="2">
        <f t="shared" si="31"/>
        <v>4.5999999999999996</v>
      </c>
      <c r="R313" s="7">
        <f>_xlfn.XLOOKUP(K313, recipe_cost!$A:$A, recipe_cost!$B:$B, "")</f>
        <v>1.4809999999999999</v>
      </c>
      <c r="S313" s="10">
        <f t="shared" si="32"/>
        <v>1.4809999999999999</v>
      </c>
      <c r="T313" s="10">
        <f t="shared" si="33"/>
        <v>3.1189999999999998</v>
      </c>
      <c r="U313" s="9">
        <f t="shared" si="34"/>
        <v>0.67804347826086953</v>
      </c>
    </row>
    <row r="314" spans="1:21" x14ac:dyDescent="0.3">
      <c r="A314" s="1">
        <v>313</v>
      </c>
      <c r="B314" s="1" t="s">
        <v>507</v>
      </c>
      <c r="C314" s="4">
        <v>45337.708333333336</v>
      </c>
      <c r="D314" s="5">
        <f t="shared" si="28"/>
        <v>45337</v>
      </c>
      <c r="E314" s="3">
        <f t="shared" si="29"/>
        <v>17</v>
      </c>
      <c r="F314" s="1" t="str" cm="1">
        <f t="array" ref="F314">_xlfn.IFS(
E314&lt;11,"Morning",
E314&lt;15,"Afternoon",
TRUE,"Evening"
)</f>
        <v>Evening</v>
      </c>
      <c r="G314" s="3" t="str">
        <f t="shared" si="30"/>
        <v>Thu</v>
      </c>
      <c r="H314" s="1" t="s">
        <v>508</v>
      </c>
      <c r="I314" s="1" t="s">
        <v>146</v>
      </c>
      <c r="J314" s="1" t="s">
        <v>113</v>
      </c>
      <c r="K314" s="1" t="str">
        <f>_xlfn.XLOOKUP($J314, items_clean!$A:$A, items_clean!$B:$B, "")</f>
        <v>HDR-MOC-MD</v>
      </c>
      <c r="L314" s="1" t="str">
        <f>_xlfn.XLOOKUP($J314, items_clean!$A:$A, items_clean!$C:$C, "")</f>
        <v>Mocha</v>
      </c>
      <c r="M314" s="1" t="str">
        <f>_xlfn.XLOOKUP($J314, items_clean!$A:$A, items_clean!$D:$D, "")</f>
        <v>Hot Drinks</v>
      </c>
      <c r="N314" s="1" t="str">
        <f>_xlfn.XLOOKUP($J314, items_clean!$A:$A, items_clean!$E:$E, "")</f>
        <v>Medium</v>
      </c>
      <c r="O314" s="3">
        <v>1</v>
      </c>
      <c r="P314" s="2">
        <f>_xlfn.XLOOKUP($J314, items_clean!$A:$A, items_clean!$F:$F, "")</f>
        <v>4</v>
      </c>
      <c r="Q314" s="2">
        <f t="shared" si="31"/>
        <v>4</v>
      </c>
      <c r="R314" s="7">
        <f>_xlfn.XLOOKUP(K314, recipe_cost!$A:$A, recipe_cost!$B:$B, "")</f>
        <v>0.4098</v>
      </c>
      <c r="S314" s="10">
        <f t="shared" si="32"/>
        <v>0.4098</v>
      </c>
      <c r="T314" s="10">
        <f t="shared" si="33"/>
        <v>3.5901999999999998</v>
      </c>
      <c r="U314" s="9">
        <f t="shared" si="34"/>
        <v>0.89754999999999996</v>
      </c>
    </row>
    <row r="315" spans="1:21" x14ac:dyDescent="0.3">
      <c r="A315" s="1">
        <v>314</v>
      </c>
      <c r="B315" s="1" t="s">
        <v>509</v>
      </c>
      <c r="C315" s="4">
        <v>45338.297222222223</v>
      </c>
      <c r="D315" s="5">
        <f t="shared" si="28"/>
        <v>45338</v>
      </c>
      <c r="E315" s="3">
        <f t="shared" si="29"/>
        <v>7</v>
      </c>
      <c r="F315" s="1" t="str" cm="1">
        <f t="array" ref="F315">_xlfn.IFS(
E315&lt;11,"Morning",
E315&lt;15,"Afternoon",
TRUE,"Evening"
)</f>
        <v>Morning</v>
      </c>
      <c r="G315" s="3" t="str">
        <f t="shared" si="30"/>
        <v>Fri</v>
      </c>
      <c r="H315" s="1" t="s">
        <v>510</v>
      </c>
      <c r="I315" s="1" t="s">
        <v>146</v>
      </c>
      <c r="J315" s="1" t="s">
        <v>105</v>
      </c>
      <c r="K315" s="1" t="str">
        <f>_xlfn.XLOOKUP($J315, items_clean!$A:$A, items_clean!$B:$B, "")</f>
        <v>HDR-FLT</v>
      </c>
      <c r="L315" s="1" t="str">
        <f>_xlfn.XLOOKUP($J315, items_clean!$A:$A, items_clean!$C:$C, "")</f>
        <v>Flat White</v>
      </c>
      <c r="M315" s="1" t="str">
        <f>_xlfn.XLOOKUP($J315, items_clean!$A:$A, items_clean!$D:$D, "")</f>
        <v>Hot Drinks</v>
      </c>
      <c r="N315" s="1" t="str">
        <f>_xlfn.XLOOKUP($J315, items_clean!$A:$A, items_clean!$E:$E, "")</f>
        <v>N/A</v>
      </c>
      <c r="O315" s="3">
        <v>1</v>
      </c>
      <c r="P315" s="2">
        <f>_xlfn.XLOOKUP($J315, items_clean!$A:$A, items_clean!$F:$F, "")</f>
        <v>3.15</v>
      </c>
      <c r="Q315" s="2">
        <f t="shared" si="31"/>
        <v>3.15</v>
      </c>
      <c r="R315" s="7">
        <f>_xlfn.XLOOKUP(K315, recipe_cost!$A:$A, recipe_cost!$B:$B, "")</f>
        <v>0.28799999999999998</v>
      </c>
      <c r="S315" s="10">
        <f t="shared" si="32"/>
        <v>0.28799999999999998</v>
      </c>
      <c r="T315" s="10">
        <f t="shared" si="33"/>
        <v>2.8620000000000001</v>
      </c>
      <c r="U315" s="9">
        <f t="shared" si="34"/>
        <v>0.90857142857142859</v>
      </c>
    </row>
    <row r="316" spans="1:21" x14ac:dyDescent="0.3">
      <c r="A316" s="1">
        <v>315</v>
      </c>
      <c r="B316" s="1" t="s">
        <v>511</v>
      </c>
      <c r="C316" s="4">
        <v>45338.302083333336</v>
      </c>
      <c r="D316" s="5">
        <f t="shared" si="28"/>
        <v>45338</v>
      </c>
      <c r="E316" s="3">
        <f t="shared" si="29"/>
        <v>7</v>
      </c>
      <c r="F316" s="1" t="str" cm="1">
        <f t="array" ref="F316">_xlfn.IFS(
E316&lt;11,"Morning",
E316&lt;15,"Afternoon",
TRUE,"Evening"
)</f>
        <v>Morning</v>
      </c>
      <c r="G316" s="3" t="str">
        <f t="shared" si="30"/>
        <v>Fri</v>
      </c>
      <c r="H316" s="1" t="s">
        <v>415</v>
      </c>
      <c r="I316" s="1" t="s">
        <v>149</v>
      </c>
      <c r="J316" s="1" t="s">
        <v>118</v>
      </c>
      <c r="K316" s="1" t="str">
        <f>_xlfn.XLOOKUP($J316, items_clean!$A:$A, items_clean!$B:$B, "")</f>
        <v>HDR-WMO-LG</v>
      </c>
      <c r="L316" s="1" t="str">
        <f>_xlfn.XLOOKUP($J316, items_clean!$A:$A, items_clean!$C:$C, "")</f>
        <v>White Mocha</v>
      </c>
      <c r="M316" s="1" t="str">
        <f>_xlfn.XLOOKUP($J316, items_clean!$A:$A, items_clean!$D:$D, "")</f>
        <v>Hot Drinks</v>
      </c>
      <c r="N316" s="1" t="str">
        <f>_xlfn.XLOOKUP($J316, items_clean!$A:$A, items_clean!$E:$E, "")</f>
        <v>Large</v>
      </c>
      <c r="O316" s="3">
        <v>1</v>
      </c>
      <c r="P316" s="2">
        <f>_xlfn.XLOOKUP($J316, items_clean!$A:$A, items_clean!$F:$F, "")</f>
        <v>4.7</v>
      </c>
      <c r="Q316" s="2">
        <f t="shared" si="31"/>
        <v>4.7</v>
      </c>
      <c r="R316" s="7">
        <f>_xlfn.XLOOKUP(K316, recipe_cost!$A:$A, recipe_cost!$B:$B, "")</f>
        <v>0.56669999999999998</v>
      </c>
      <c r="S316" s="10">
        <f t="shared" si="32"/>
        <v>0.56669999999999998</v>
      </c>
      <c r="T316" s="10">
        <f t="shared" si="33"/>
        <v>4.1333000000000002</v>
      </c>
      <c r="U316" s="9">
        <f t="shared" si="34"/>
        <v>0.87942553191489359</v>
      </c>
    </row>
    <row r="317" spans="1:21" x14ac:dyDescent="0.3">
      <c r="A317" s="1">
        <v>316</v>
      </c>
      <c r="B317" s="1" t="s">
        <v>512</v>
      </c>
      <c r="C317" s="4">
        <v>45338.306944444441</v>
      </c>
      <c r="D317" s="5">
        <f t="shared" si="28"/>
        <v>45338</v>
      </c>
      <c r="E317" s="3">
        <f t="shared" si="29"/>
        <v>7</v>
      </c>
      <c r="F317" s="1" t="str" cm="1">
        <f t="array" ref="F317">_xlfn.IFS(
E317&lt;11,"Morning",
E317&lt;15,"Afternoon",
TRUE,"Evening"
)</f>
        <v>Morning</v>
      </c>
      <c r="G317" s="3" t="str">
        <f t="shared" si="30"/>
        <v>Fri</v>
      </c>
      <c r="H317" s="1" t="s">
        <v>513</v>
      </c>
      <c r="I317" s="1" t="s">
        <v>778</v>
      </c>
      <c r="J317" s="1" t="s">
        <v>128</v>
      </c>
      <c r="K317" s="1" t="str">
        <f>_xlfn.XLOOKUP($J317, items_clean!$A:$A, items_clean!$B:$B, "")</f>
        <v>CDR-CMO-LG</v>
      </c>
      <c r="L317" s="1" t="str">
        <f>_xlfn.XLOOKUP($J317, items_clean!$A:$A, items_clean!$C:$C, "")</f>
        <v>Cold Mocha</v>
      </c>
      <c r="M317" s="1" t="str">
        <f>_xlfn.XLOOKUP($J317, items_clean!$A:$A, items_clean!$D:$D, "")</f>
        <v>Cold Drinks</v>
      </c>
      <c r="N317" s="1" t="str">
        <f>_xlfn.XLOOKUP($J317, items_clean!$A:$A, items_clean!$E:$E, "")</f>
        <v>Large</v>
      </c>
      <c r="O317" s="3">
        <v>1</v>
      </c>
      <c r="P317" s="2">
        <f>_xlfn.XLOOKUP($J317, items_clean!$A:$A, items_clean!$F:$F, "")</f>
        <v>4.5999999999999996</v>
      </c>
      <c r="Q317" s="2">
        <f t="shared" si="31"/>
        <v>4.5999999999999996</v>
      </c>
      <c r="R317" s="7">
        <f>_xlfn.XLOOKUP(K317, recipe_cost!$A:$A, recipe_cost!$B:$B, "")</f>
        <v>0.56669999999999998</v>
      </c>
      <c r="S317" s="10">
        <f t="shared" si="32"/>
        <v>0.56669999999999998</v>
      </c>
      <c r="T317" s="10">
        <f t="shared" si="33"/>
        <v>4.0332999999999997</v>
      </c>
      <c r="U317" s="9">
        <f t="shared" si="34"/>
        <v>0.87680434782608696</v>
      </c>
    </row>
    <row r="318" spans="1:21" x14ac:dyDescent="0.3">
      <c r="A318" s="1">
        <v>317</v>
      </c>
      <c r="B318" s="1" t="s">
        <v>512</v>
      </c>
      <c r="C318" s="4">
        <v>45338.306944444441</v>
      </c>
      <c r="D318" s="5">
        <f t="shared" si="28"/>
        <v>45338</v>
      </c>
      <c r="E318" s="3">
        <f t="shared" si="29"/>
        <v>7</v>
      </c>
      <c r="F318" s="1" t="str" cm="1">
        <f t="array" ref="F318">_xlfn.IFS(
E318&lt;11,"Morning",
E318&lt;15,"Afternoon",
TRUE,"Evening"
)</f>
        <v>Morning</v>
      </c>
      <c r="G318" s="3" t="str">
        <f t="shared" si="30"/>
        <v>Fri</v>
      </c>
      <c r="H318" s="1" t="s">
        <v>513</v>
      </c>
      <c r="I318" s="1" t="s">
        <v>146</v>
      </c>
      <c r="J318" s="1" t="s">
        <v>134</v>
      </c>
      <c r="K318" s="1" t="str">
        <f>_xlfn.XLOOKUP($J318, items_clean!$A:$A, items_clean!$B:$B, "")</f>
        <v>CDR-LMN-LG</v>
      </c>
      <c r="L318" s="1" t="str">
        <f>_xlfn.XLOOKUP($J318, items_clean!$A:$A, items_clean!$C:$C, "")</f>
        <v>Lemonade</v>
      </c>
      <c r="M318" s="1" t="str">
        <f>_xlfn.XLOOKUP($J318, items_clean!$A:$A, items_clean!$D:$D, "")</f>
        <v>Cold Drinks</v>
      </c>
      <c r="N318" s="1" t="str">
        <f>_xlfn.XLOOKUP($J318, items_clean!$A:$A, items_clean!$E:$E, "")</f>
        <v>Large</v>
      </c>
      <c r="O318" s="3">
        <v>1</v>
      </c>
      <c r="P318" s="2">
        <f>_xlfn.XLOOKUP($J318, items_clean!$A:$A, items_clean!$F:$F, "")</f>
        <v>3.75</v>
      </c>
      <c r="Q318" s="2">
        <f t="shared" si="31"/>
        <v>3.75</v>
      </c>
      <c r="R318" s="7">
        <f>_xlfn.XLOOKUP(K318, recipe_cost!$A:$A, recipe_cost!$B:$B, "")</f>
        <v>0.36</v>
      </c>
      <c r="S318" s="10">
        <f t="shared" si="32"/>
        <v>0.36</v>
      </c>
      <c r="T318" s="10">
        <f t="shared" si="33"/>
        <v>3.39</v>
      </c>
      <c r="U318" s="9">
        <f t="shared" si="34"/>
        <v>0.90400000000000003</v>
      </c>
    </row>
    <row r="319" spans="1:21" x14ac:dyDescent="0.3">
      <c r="A319" s="1">
        <v>318</v>
      </c>
      <c r="B319" s="1" t="s">
        <v>514</v>
      </c>
      <c r="C319" s="4">
        <v>45338.311805555553</v>
      </c>
      <c r="D319" s="5">
        <f t="shared" si="28"/>
        <v>45338</v>
      </c>
      <c r="E319" s="3">
        <f t="shared" si="29"/>
        <v>7</v>
      </c>
      <c r="F319" s="1" t="str" cm="1">
        <f t="array" ref="F319">_xlfn.IFS(
E319&lt;11,"Morning",
E319&lt;15,"Afternoon",
TRUE,"Evening"
)</f>
        <v>Morning</v>
      </c>
      <c r="G319" s="3" t="str">
        <f t="shared" si="30"/>
        <v>Fri</v>
      </c>
      <c r="H319" s="1" t="s">
        <v>515</v>
      </c>
      <c r="I319" s="1" t="s">
        <v>149</v>
      </c>
      <c r="J319" s="1" t="s">
        <v>104</v>
      </c>
      <c r="K319" s="1" t="str">
        <f>_xlfn.XLOOKUP($J319, items_clean!$A:$A, items_clean!$B:$B, "")</f>
        <v>HDR-LAT-LG</v>
      </c>
      <c r="L319" s="1" t="str">
        <f>_xlfn.XLOOKUP($J319, items_clean!$A:$A, items_clean!$C:$C, "")</f>
        <v>Latte</v>
      </c>
      <c r="M319" s="1" t="str">
        <f>_xlfn.XLOOKUP($J319, items_clean!$A:$A, items_clean!$D:$D, "")</f>
        <v>Hot Drinks</v>
      </c>
      <c r="N319" s="1" t="str">
        <f>_xlfn.XLOOKUP($J319, items_clean!$A:$A, items_clean!$E:$E, "")</f>
        <v>Large</v>
      </c>
      <c r="O319" s="3">
        <v>1</v>
      </c>
      <c r="P319" s="2">
        <f>_xlfn.XLOOKUP($J319, items_clean!$A:$A, items_clean!$F:$F, "")</f>
        <v>3.75</v>
      </c>
      <c r="Q319" s="2">
        <f t="shared" si="31"/>
        <v>3.75</v>
      </c>
      <c r="R319" s="7">
        <f>_xlfn.XLOOKUP(K319, recipe_cost!$A:$A, recipe_cost!$B:$B, "")</f>
        <v>0.33599999999999997</v>
      </c>
      <c r="S319" s="10">
        <f t="shared" si="32"/>
        <v>0.33599999999999997</v>
      </c>
      <c r="T319" s="10">
        <f t="shared" si="33"/>
        <v>3.4140000000000001</v>
      </c>
      <c r="U319" s="9">
        <f t="shared" si="34"/>
        <v>0.91039999999999999</v>
      </c>
    </row>
    <row r="320" spans="1:21" x14ac:dyDescent="0.3">
      <c r="A320" s="1">
        <v>319</v>
      </c>
      <c r="B320" s="1" t="s">
        <v>517</v>
      </c>
      <c r="C320" s="4">
        <v>45338.321527777778</v>
      </c>
      <c r="D320" s="5">
        <f t="shared" si="28"/>
        <v>45338</v>
      </c>
      <c r="E320" s="3">
        <f t="shared" si="29"/>
        <v>7</v>
      </c>
      <c r="F320" s="1" t="str" cm="1">
        <f t="array" ref="F320">_xlfn.IFS(
E320&lt;11,"Morning",
E320&lt;15,"Afternoon",
TRUE,"Evening"
)</f>
        <v>Morning</v>
      </c>
      <c r="G320" s="3" t="str">
        <f t="shared" si="30"/>
        <v>Fri</v>
      </c>
      <c r="H320" s="1" t="s">
        <v>518</v>
      </c>
      <c r="I320" s="1" t="s">
        <v>149</v>
      </c>
      <c r="J320" s="1" t="s">
        <v>116</v>
      </c>
      <c r="K320" s="1" t="str">
        <f>_xlfn.XLOOKUP($J320, items_clean!$A:$A, items_clean!$B:$B, "")</f>
        <v>HDR-WMO-MD</v>
      </c>
      <c r="L320" s="1" t="str">
        <f>_xlfn.XLOOKUP($J320, items_clean!$A:$A, items_clean!$C:$C, "")</f>
        <v>White Mocha</v>
      </c>
      <c r="M320" s="1" t="str">
        <f>_xlfn.XLOOKUP($J320, items_clean!$A:$A, items_clean!$D:$D, "")</f>
        <v>Hot Drinks</v>
      </c>
      <c r="N320" s="1" t="str">
        <f>_xlfn.XLOOKUP($J320, items_clean!$A:$A, items_clean!$E:$E, "")</f>
        <v>Medium</v>
      </c>
      <c r="O320" s="3">
        <v>1</v>
      </c>
      <c r="P320" s="2">
        <f>_xlfn.XLOOKUP($J320, items_clean!$A:$A, items_clean!$F:$F, "")</f>
        <v>4.5</v>
      </c>
      <c r="Q320" s="2">
        <f t="shared" si="31"/>
        <v>4.5</v>
      </c>
      <c r="R320" s="7">
        <f>_xlfn.XLOOKUP(K320, recipe_cost!$A:$A, recipe_cost!$B:$B, "")</f>
        <v>0.4098</v>
      </c>
      <c r="S320" s="10">
        <f t="shared" si="32"/>
        <v>0.4098</v>
      </c>
      <c r="T320" s="10">
        <f t="shared" si="33"/>
        <v>4.0902000000000003</v>
      </c>
      <c r="U320" s="9">
        <f t="shared" si="34"/>
        <v>0.90893333333333337</v>
      </c>
    </row>
    <row r="321" spans="1:21" x14ac:dyDescent="0.3">
      <c r="A321" s="1">
        <v>320</v>
      </c>
      <c r="B321" s="1" t="s">
        <v>519</v>
      </c>
      <c r="C321" s="4">
        <v>45338.32708333333</v>
      </c>
      <c r="D321" s="5">
        <f t="shared" si="28"/>
        <v>45338</v>
      </c>
      <c r="E321" s="3">
        <f t="shared" si="29"/>
        <v>7</v>
      </c>
      <c r="F321" s="1" t="str" cm="1">
        <f t="array" ref="F321">_xlfn.IFS(
E321&lt;11,"Morning",
E321&lt;15,"Afternoon",
TRUE,"Evening"
)</f>
        <v>Morning</v>
      </c>
      <c r="G321" s="3" t="str">
        <f t="shared" si="30"/>
        <v>Fri</v>
      </c>
      <c r="H321" s="1" t="s">
        <v>448</v>
      </c>
      <c r="I321" s="1" t="s">
        <v>146</v>
      </c>
      <c r="J321" s="1" t="s">
        <v>122</v>
      </c>
      <c r="K321" s="1" t="str">
        <f>_xlfn.XLOOKUP($J321, items_clean!$A:$A, items_clean!$B:$B, "")</f>
        <v>CDR-CCF-MD</v>
      </c>
      <c r="L321" s="1" t="str">
        <f>_xlfn.XLOOKUP($J321, items_clean!$A:$A, items_clean!$C:$C, "")</f>
        <v>Cold Coffee</v>
      </c>
      <c r="M321" s="1" t="str">
        <f>_xlfn.XLOOKUP($J321, items_clean!$A:$A, items_clean!$D:$D, "")</f>
        <v>Cold Drinks</v>
      </c>
      <c r="N321" s="1" t="str">
        <f>_xlfn.XLOOKUP($J321, items_clean!$A:$A, items_clean!$E:$E, "")</f>
        <v>Medium</v>
      </c>
      <c r="O321" s="3">
        <v>1</v>
      </c>
      <c r="P321" s="2">
        <f>_xlfn.XLOOKUP($J321, items_clean!$A:$A, items_clean!$F:$F, "")</f>
        <v>3.45</v>
      </c>
      <c r="Q321" s="2">
        <f t="shared" si="31"/>
        <v>3.45</v>
      </c>
      <c r="R321" s="7">
        <f>_xlfn.XLOOKUP(K321, recipe_cost!$A:$A, recipe_cost!$B:$B, "")</f>
        <v>0.252</v>
      </c>
      <c r="S321" s="10">
        <f t="shared" si="32"/>
        <v>0.252</v>
      </c>
      <c r="T321" s="10">
        <f t="shared" si="33"/>
        <v>3.1980000000000004</v>
      </c>
      <c r="U321" s="9">
        <f t="shared" si="34"/>
        <v>0.92695652173913046</v>
      </c>
    </row>
    <row r="322" spans="1:21" x14ac:dyDescent="0.3">
      <c r="A322" s="1">
        <v>321</v>
      </c>
      <c r="B322" s="1" t="s">
        <v>520</v>
      </c>
      <c r="C322" s="4">
        <v>45338.331944444442</v>
      </c>
      <c r="D322" s="5">
        <f t="shared" si="28"/>
        <v>45338</v>
      </c>
      <c r="E322" s="3">
        <f t="shared" si="29"/>
        <v>7</v>
      </c>
      <c r="F322" s="1" t="str" cm="1">
        <f t="array" ref="F322">_xlfn.IFS(
E322&lt;11,"Morning",
E322&lt;15,"Afternoon",
TRUE,"Evening"
)</f>
        <v>Morning</v>
      </c>
      <c r="G322" s="3" t="str">
        <f t="shared" si="30"/>
        <v>Fri</v>
      </c>
      <c r="H322" s="1" t="s">
        <v>521</v>
      </c>
      <c r="I322" s="1" t="s">
        <v>149</v>
      </c>
      <c r="J322" s="1" t="s">
        <v>96</v>
      </c>
      <c r="K322" s="1" t="str">
        <f>_xlfn.XLOOKUP($J322, items_clean!$A:$A, items_clean!$B:$B, "")</f>
        <v>HDR-CAP-MD</v>
      </c>
      <c r="L322" s="1" t="str">
        <f>_xlfn.XLOOKUP($J322, items_clean!$A:$A, items_clean!$C:$C, "")</f>
        <v>Cappuccino</v>
      </c>
      <c r="M322" s="1" t="str">
        <f>_xlfn.XLOOKUP($J322, items_clean!$A:$A, items_clean!$D:$D, "")</f>
        <v>Hot Drinks</v>
      </c>
      <c r="N322" s="1" t="str">
        <f>_xlfn.XLOOKUP($J322, items_clean!$A:$A, items_clean!$E:$E, "")</f>
        <v>Medium</v>
      </c>
      <c r="O322" s="3">
        <v>1</v>
      </c>
      <c r="P322" s="2">
        <f>_xlfn.XLOOKUP($J322, items_clean!$A:$A, items_clean!$F:$F, "")</f>
        <v>3.45</v>
      </c>
      <c r="Q322" s="2">
        <f t="shared" si="31"/>
        <v>3.45</v>
      </c>
      <c r="R322" s="7">
        <f>_xlfn.XLOOKUP(K322, recipe_cost!$A:$A, recipe_cost!$B:$B, "")</f>
        <v>0.252</v>
      </c>
      <c r="S322" s="10">
        <f t="shared" si="32"/>
        <v>0.252</v>
      </c>
      <c r="T322" s="10">
        <f t="shared" si="33"/>
        <v>3.1980000000000004</v>
      </c>
      <c r="U322" s="9">
        <f t="shared" si="34"/>
        <v>0.92695652173913046</v>
      </c>
    </row>
    <row r="323" spans="1:21" x14ac:dyDescent="0.3">
      <c r="A323" s="1">
        <v>322</v>
      </c>
      <c r="B323" s="1" t="s">
        <v>520</v>
      </c>
      <c r="C323" s="4">
        <v>45338.331944444442</v>
      </c>
      <c r="D323" s="5">
        <f t="shared" ref="D323:D386" si="35">INT(C323)</f>
        <v>45338</v>
      </c>
      <c r="E323" s="3">
        <f t="shared" ref="E323:E386" si="36">HOUR(C323)</f>
        <v>7</v>
      </c>
      <c r="F323" s="1" t="str" cm="1">
        <f t="array" ref="F323">_xlfn.IFS(
E323&lt;11,"Morning",
E323&lt;15,"Afternoon",
TRUE,"Evening"
)</f>
        <v>Morning</v>
      </c>
      <c r="G323" s="3" t="str">
        <f t="shared" ref="G323:G386" si="37">TEXT(C323,"ddd")</f>
        <v>Fri</v>
      </c>
      <c r="H323" s="1" t="s">
        <v>521</v>
      </c>
      <c r="I323" s="1" t="s">
        <v>778</v>
      </c>
      <c r="J323" s="1" t="s">
        <v>108</v>
      </c>
      <c r="K323" s="1" t="str">
        <f>_xlfn.XLOOKUP($J323, items_clean!$A:$A, items_clean!$B:$B, "")</f>
        <v>HDR-CRM-MD</v>
      </c>
      <c r="L323" s="1" t="str">
        <f>_xlfn.XLOOKUP($J323, items_clean!$A:$A, items_clean!$C:$C, "")</f>
        <v>Caramel Macchiato</v>
      </c>
      <c r="M323" s="1" t="str">
        <f>_xlfn.XLOOKUP($J323, items_clean!$A:$A, items_clean!$D:$D, "")</f>
        <v>Hot Drinks</v>
      </c>
      <c r="N323" s="1" t="str">
        <f>_xlfn.XLOOKUP($J323, items_clean!$A:$A, items_clean!$E:$E, "")</f>
        <v>Medium</v>
      </c>
      <c r="O323" s="3">
        <v>1</v>
      </c>
      <c r="P323" s="2">
        <f>_xlfn.XLOOKUP($J323, items_clean!$A:$A, items_clean!$F:$F, "")</f>
        <v>4.2</v>
      </c>
      <c r="Q323" s="2">
        <f t="shared" ref="Q323:Q386" si="38">O323*P323</f>
        <v>4.2</v>
      </c>
      <c r="R323" s="7">
        <f>_xlfn.XLOOKUP(K323, recipe_cost!$A:$A, recipe_cost!$B:$B, "")</f>
        <v>0.4098</v>
      </c>
      <c r="S323" s="10">
        <f t="shared" ref="S323:S386" si="39">O323 * R323</f>
        <v>0.4098</v>
      </c>
      <c r="T323" s="10">
        <f t="shared" ref="T323:T386" si="40">Q323-S323</f>
        <v>3.7902</v>
      </c>
      <c r="U323" s="9">
        <f t="shared" ref="U323:U386" si="41">IF(Q323=0,"",T323/Q323)</f>
        <v>0.90242857142857136</v>
      </c>
    </row>
    <row r="324" spans="1:21" x14ac:dyDescent="0.3">
      <c r="A324" s="1">
        <v>323</v>
      </c>
      <c r="B324" s="1" t="s">
        <v>522</v>
      </c>
      <c r="C324" s="4">
        <v>45338.336805555555</v>
      </c>
      <c r="D324" s="5">
        <f t="shared" si="35"/>
        <v>45338</v>
      </c>
      <c r="E324" s="3">
        <f t="shared" si="36"/>
        <v>8</v>
      </c>
      <c r="F324" s="1" t="str" cm="1">
        <f t="array" ref="F324">_xlfn.IFS(
E324&lt;11,"Morning",
E324&lt;15,"Afternoon",
TRUE,"Evening"
)</f>
        <v>Morning</v>
      </c>
      <c r="G324" s="3" t="str">
        <f t="shared" si="37"/>
        <v>Fri</v>
      </c>
      <c r="H324" s="1" t="s">
        <v>523</v>
      </c>
      <c r="I324" s="1" t="s">
        <v>146</v>
      </c>
      <c r="J324" s="1" t="s">
        <v>129</v>
      </c>
      <c r="K324" s="1" t="str">
        <f>_xlfn.XLOOKUP($J324, items_clean!$A:$A, items_clean!$B:$B, "")</f>
        <v>CDR-ICT-MD</v>
      </c>
      <c r="L324" s="1" t="str">
        <f>_xlfn.XLOOKUP($J324, items_clean!$A:$A, items_clean!$C:$C, "")</f>
        <v>Iced Tea</v>
      </c>
      <c r="M324" s="1" t="str">
        <f>_xlfn.XLOOKUP($J324, items_clean!$A:$A, items_clean!$D:$D, "")</f>
        <v>Cold Drinks</v>
      </c>
      <c r="N324" s="1" t="str">
        <f>_xlfn.XLOOKUP($J324, items_clean!$A:$A, items_clean!$E:$E, "")</f>
        <v>Medium</v>
      </c>
      <c r="O324" s="3">
        <v>1</v>
      </c>
      <c r="P324" s="2">
        <f>_xlfn.XLOOKUP($J324, items_clean!$A:$A, items_clean!$F:$F, "")</f>
        <v>3.25</v>
      </c>
      <c r="Q324" s="2">
        <f t="shared" si="38"/>
        <v>3.25</v>
      </c>
      <c r="R324" s="7">
        <f>_xlfn.XLOOKUP(K324, recipe_cost!$A:$A, recipe_cost!$B:$B, "")</f>
        <v>0.19</v>
      </c>
      <c r="S324" s="10">
        <f t="shared" si="39"/>
        <v>0.19</v>
      </c>
      <c r="T324" s="10">
        <f t="shared" si="40"/>
        <v>3.06</v>
      </c>
      <c r="U324" s="9">
        <f t="shared" si="41"/>
        <v>0.94153846153846155</v>
      </c>
    </row>
    <row r="325" spans="1:21" x14ac:dyDescent="0.3">
      <c r="A325" s="1">
        <v>324</v>
      </c>
      <c r="B325" s="1" t="s">
        <v>524</v>
      </c>
      <c r="C325" s="4">
        <v>45338.341666666667</v>
      </c>
      <c r="D325" s="5">
        <f t="shared" si="35"/>
        <v>45338</v>
      </c>
      <c r="E325" s="3">
        <f t="shared" si="36"/>
        <v>8</v>
      </c>
      <c r="F325" s="1" t="str" cm="1">
        <f t="array" ref="F325">_xlfn.IFS(
E325&lt;11,"Morning",
E325&lt;15,"Afternoon",
TRUE,"Evening"
)</f>
        <v>Morning</v>
      </c>
      <c r="G325" s="3" t="str">
        <f t="shared" si="37"/>
        <v>Fri</v>
      </c>
      <c r="H325" s="1" t="s">
        <v>525</v>
      </c>
      <c r="I325" s="1" t="s">
        <v>149</v>
      </c>
      <c r="J325" s="1" t="s">
        <v>135</v>
      </c>
      <c r="K325" s="1" t="str">
        <f>_xlfn.XLOOKUP($J325, items_clean!$A:$A, items_clean!$B:$B, "")</f>
        <v>SNK-SHC</v>
      </c>
      <c r="L325" s="1" t="str">
        <f>_xlfn.XLOOKUP($J325, items_clean!$A:$A, items_clean!$C:$C, "")</f>
        <v>Sandwich Ham&amp;Cheese</v>
      </c>
      <c r="M325" s="1" t="str">
        <f>_xlfn.XLOOKUP($J325, items_clean!$A:$A, items_clean!$D:$D, "")</f>
        <v>Snacks</v>
      </c>
      <c r="N325" s="1" t="str">
        <f>_xlfn.XLOOKUP($J325, items_clean!$A:$A, items_clean!$E:$E, "")</f>
        <v>N/A</v>
      </c>
      <c r="O325" s="3">
        <v>1</v>
      </c>
      <c r="P325" s="2">
        <f>_xlfn.XLOOKUP($J325, items_clean!$A:$A, items_clean!$F:$F, "")</f>
        <v>5.6</v>
      </c>
      <c r="Q325" s="2">
        <f t="shared" si="38"/>
        <v>5.6</v>
      </c>
      <c r="R325" s="7">
        <f>_xlfn.XLOOKUP(K325, recipe_cost!$A:$A, recipe_cost!$B:$B, "")</f>
        <v>2.0105</v>
      </c>
      <c r="S325" s="10">
        <f t="shared" si="39"/>
        <v>2.0105</v>
      </c>
      <c r="T325" s="10">
        <f t="shared" si="40"/>
        <v>3.5894999999999997</v>
      </c>
      <c r="U325" s="9">
        <f t="shared" si="41"/>
        <v>0.64098214285714283</v>
      </c>
    </row>
    <row r="326" spans="1:21" x14ac:dyDescent="0.3">
      <c r="A326" s="1">
        <v>325</v>
      </c>
      <c r="B326" s="1" t="s">
        <v>526</v>
      </c>
      <c r="C326" s="4">
        <v>45338.34652777778</v>
      </c>
      <c r="D326" s="5">
        <f t="shared" si="35"/>
        <v>45338</v>
      </c>
      <c r="E326" s="3">
        <f t="shared" si="36"/>
        <v>8</v>
      </c>
      <c r="F326" s="1" t="str" cm="1">
        <f t="array" ref="F326">_xlfn.IFS(
E326&lt;11,"Morning",
E326&lt;15,"Afternoon",
TRUE,"Evening"
)</f>
        <v>Morning</v>
      </c>
      <c r="G326" s="3" t="str">
        <f t="shared" si="37"/>
        <v>Fri</v>
      </c>
      <c r="H326" s="1" t="s">
        <v>527</v>
      </c>
      <c r="I326" s="1" t="s">
        <v>146</v>
      </c>
      <c r="J326" s="1" t="s">
        <v>113</v>
      </c>
      <c r="K326" s="1" t="str">
        <f>_xlfn.XLOOKUP($J326, items_clean!$A:$A, items_clean!$B:$B, "")</f>
        <v>HDR-MOC-MD</v>
      </c>
      <c r="L326" s="1" t="str">
        <f>_xlfn.XLOOKUP($J326, items_clean!$A:$A, items_clean!$C:$C, "")</f>
        <v>Mocha</v>
      </c>
      <c r="M326" s="1" t="str">
        <f>_xlfn.XLOOKUP($J326, items_clean!$A:$A, items_clean!$D:$D, "")</f>
        <v>Hot Drinks</v>
      </c>
      <c r="N326" s="1" t="str">
        <f>_xlfn.XLOOKUP($J326, items_clean!$A:$A, items_clean!$E:$E, "")</f>
        <v>Medium</v>
      </c>
      <c r="O326" s="3">
        <v>1</v>
      </c>
      <c r="P326" s="2">
        <f>_xlfn.XLOOKUP($J326, items_clean!$A:$A, items_clean!$F:$F, "")</f>
        <v>4</v>
      </c>
      <c r="Q326" s="2">
        <f t="shared" si="38"/>
        <v>4</v>
      </c>
      <c r="R326" s="7">
        <f>_xlfn.XLOOKUP(K326, recipe_cost!$A:$A, recipe_cost!$B:$B, "")</f>
        <v>0.4098</v>
      </c>
      <c r="S326" s="10">
        <f t="shared" si="39"/>
        <v>0.4098</v>
      </c>
      <c r="T326" s="10">
        <f t="shared" si="40"/>
        <v>3.5901999999999998</v>
      </c>
      <c r="U326" s="9">
        <f t="shared" si="41"/>
        <v>0.89754999999999996</v>
      </c>
    </row>
    <row r="327" spans="1:21" x14ac:dyDescent="0.3">
      <c r="A327" s="1">
        <v>326</v>
      </c>
      <c r="B327" s="1" t="s">
        <v>528</v>
      </c>
      <c r="C327" s="4">
        <v>45338.351388888892</v>
      </c>
      <c r="D327" s="5">
        <f t="shared" si="35"/>
        <v>45338</v>
      </c>
      <c r="E327" s="3">
        <f t="shared" si="36"/>
        <v>8</v>
      </c>
      <c r="F327" s="1" t="str" cm="1">
        <f t="array" ref="F327">_xlfn.IFS(
E327&lt;11,"Morning",
E327&lt;15,"Afternoon",
TRUE,"Evening"
)</f>
        <v>Morning</v>
      </c>
      <c r="G327" s="3" t="str">
        <f t="shared" si="37"/>
        <v>Fri</v>
      </c>
      <c r="H327" s="1" t="s">
        <v>529</v>
      </c>
      <c r="I327" s="1" t="s">
        <v>149</v>
      </c>
      <c r="J327" s="1" t="s">
        <v>102</v>
      </c>
      <c r="K327" s="1" t="str">
        <f>_xlfn.XLOOKUP($J327, items_clean!$A:$A, items_clean!$B:$B, "")</f>
        <v>HDR-LAT-MD</v>
      </c>
      <c r="L327" s="1" t="str">
        <f>_xlfn.XLOOKUP($J327, items_clean!$A:$A, items_clean!$C:$C, "")</f>
        <v>Latte</v>
      </c>
      <c r="M327" s="1" t="str">
        <f>_xlfn.XLOOKUP($J327, items_clean!$A:$A, items_clean!$D:$D, "")</f>
        <v>Hot Drinks</v>
      </c>
      <c r="N327" s="1" t="str">
        <f>_xlfn.XLOOKUP($J327, items_clean!$A:$A, items_clean!$E:$E, "")</f>
        <v>Medium</v>
      </c>
      <c r="O327" s="3">
        <v>1</v>
      </c>
      <c r="P327" s="2">
        <f>_xlfn.XLOOKUP($J327, items_clean!$A:$A, items_clean!$F:$F, "")</f>
        <v>3.45</v>
      </c>
      <c r="Q327" s="2">
        <f t="shared" si="38"/>
        <v>3.45</v>
      </c>
      <c r="R327" s="7">
        <f>_xlfn.XLOOKUP(K327, recipe_cost!$A:$A, recipe_cost!$B:$B, "")</f>
        <v>0.252</v>
      </c>
      <c r="S327" s="10">
        <f t="shared" si="39"/>
        <v>0.252</v>
      </c>
      <c r="T327" s="10">
        <f t="shared" si="40"/>
        <v>3.1980000000000004</v>
      </c>
      <c r="U327" s="9">
        <f t="shared" si="41"/>
        <v>0.92695652173913046</v>
      </c>
    </row>
    <row r="328" spans="1:21" x14ac:dyDescent="0.3">
      <c r="A328" s="1">
        <v>327</v>
      </c>
      <c r="B328" s="1" t="s">
        <v>528</v>
      </c>
      <c r="C328" s="4">
        <v>45338.351388888892</v>
      </c>
      <c r="D328" s="5">
        <f t="shared" si="35"/>
        <v>45338</v>
      </c>
      <c r="E328" s="3">
        <f t="shared" si="36"/>
        <v>8</v>
      </c>
      <c r="F328" s="1" t="str" cm="1">
        <f t="array" ref="F328">_xlfn.IFS(
E328&lt;11,"Morning",
E328&lt;15,"Afternoon",
TRUE,"Evening"
)</f>
        <v>Morning</v>
      </c>
      <c r="G328" s="3" t="str">
        <f t="shared" si="37"/>
        <v>Fri</v>
      </c>
      <c r="H328" s="1" t="s">
        <v>529</v>
      </c>
      <c r="I328" s="1" t="s">
        <v>778</v>
      </c>
      <c r="J328" s="1" t="s">
        <v>131</v>
      </c>
      <c r="K328" s="1" t="str">
        <f>_xlfn.XLOOKUP($J328, items_clean!$A:$A, items_clean!$B:$B, "")</f>
        <v>CDR-ICT-LG</v>
      </c>
      <c r="L328" s="1" t="str">
        <f>_xlfn.XLOOKUP($J328, items_clean!$A:$A, items_clean!$C:$C, "")</f>
        <v>Iced Tea</v>
      </c>
      <c r="M328" s="1" t="str">
        <f>_xlfn.XLOOKUP($J328, items_clean!$A:$A, items_clean!$D:$D, "")</f>
        <v>Cold Drinks</v>
      </c>
      <c r="N328" s="1" t="str">
        <f>_xlfn.XLOOKUP($J328, items_clean!$A:$A, items_clean!$E:$E, "")</f>
        <v>Large</v>
      </c>
      <c r="O328" s="3">
        <v>1</v>
      </c>
      <c r="P328" s="2">
        <f>_xlfn.XLOOKUP($J328, items_clean!$A:$A, items_clean!$F:$F, "")</f>
        <v>3.55</v>
      </c>
      <c r="Q328" s="2">
        <f t="shared" si="38"/>
        <v>3.55</v>
      </c>
      <c r="R328" s="7">
        <f>_xlfn.XLOOKUP(K328, recipe_cost!$A:$A, recipe_cost!$B:$B, "")</f>
        <v>0.26984999999999998</v>
      </c>
      <c r="S328" s="10">
        <f t="shared" si="39"/>
        <v>0.26984999999999998</v>
      </c>
      <c r="T328" s="10">
        <f t="shared" si="40"/>
        <v>3.2801499999999999</v>
      </c>
      <c r="U328" s="9">
        <f t="shared" si="41"/>
        <v>0.92398591549295772</v>
      </c>
    </row>
    <row r="329" spans="1:21" x14ac:dyDescent="0.3">
      <c r="A329" s="1">
        <v>328</v>
      </c>
      <c r="B329" s="1" t="s">
        <v>530</v>
      </c>
      <c r="C329" s="4">
        <v>45338.356249999997</v>
      </c>
      <c r="D329" s="5">
        <f t="shared" si="35"/>
        <v>45338</v>
      </c>
      <c r="E329" s="3">
        <f t="shared" si="36"/>
        <v>8</v>
      </c>
      <c r="F329" s="1" t="str" cm="1">
        <f t="array" ref="F329">_xlfn.IFS(
E329&lt;11,"Morning",
E329&lt;15,"Afternoon",
TRUE,"Evening"
)</f>
        <v>Morning</v>
      </c>
      <c r="G329" s="3" t="str">
        <f t="shared" si="37"/>
        <v>Fri</v>
      </c>
      <c r="H329" s="1" t="s">
        <v>531</v>
      </c>
      <c r="I329" s="1" t="s">
        <v>146</v>
      </c>
      <c r="J329" s="1" t="s">
        <v>110</v>
      </c>
      <c r="K329" s="1" t="str">
        <f>_xlfn.XLOOKUP($J329, items_clean!$A:$A, items_clean!$B:$B, "")</f>
        <v>HDR-CRM-LG</v>
      </c>
      <c r="L329" s="1" t="str">
        <f>_xlfn.XLOOKUP($J329, items_clean!$A:$A, items_clean!$C:$C, "")</f>
        <v>Caramel Macchiato</v>
      </c>
      <c r="M329" s="1" t="str">
        <f>_xlfn.XLOOKUP($J329, items_clean!$A:$A, items_clean!$D:$D, "")</f>
        <v>Hot Drinks</v>
      </c>
      <c r="N329" s="1" t="str">
        <f>_xlfn.XLOOKUP($J329, items_clean!$A:$A, items_clean!$E:$E, "")</f>
        <v>Large</v>
      </c>
      <c r="O329" s="3">
        <v>1</v>
      </c>
      <c r="P329" s="2">
        <f>_xlfn.XLOOKUP($J329, items_clean!$A:$A, items_clean!$F:$F, "")</f>
        <v>4.5999999999999996</v>
      </c>
      <c r="Q329" s="2">
        <f t="shared" si="38"/>
        <v>4.5999999999999996</v>
      </c>
      <c r="R329" s="7">
        <f>_xlfn.XLOOKUP(K329, recipe_cost!$A:$A, recipe_cost!$B:$B, "")</f>
        <v>0.56669999999999998</v>
      </c>
      <c r="S329" s="10">
        <f t="shared" si="39"/>
        <v>0.56669999999999998</v>
      </c>
      <c r="T329" s="10">
        <f t="shared" si="40"/>
        <v>4.0332999999999997</v>
      </c>
      <c r="U329" s="9">
        <f t="shared" si="41"/>
        <v>0.87680434782608696</v>
      </c>
    </row>
    <row r="330" spans="1:21" x14ac:dyDescent="0.3">
      <c r="A330" s="1">
        <v>329</v>
      </c>
      <c r="B330" s="1" t="s">
        <v>532</v>
      </c>
      <c r="C330" s="4">
        <v>45338.361111111109</v>
      </c>
      <c r="D330" s="5">
        <f t="shared" si="35"/>
        <v>45338</v>
      </c>
      <c r="E330" s="3">
        <f t="shared" si="36"/>
        <v>8</v>
      </c>
      <c r="F330" s="1" t="str" cm="1">
        <f t="array" ref="F330">_xlfn.IFS(
E330&lt;11,"Morning",
E330&lt;15,"Afternoon",
TRUE,"Evening"
)</f>
        <v>Morning</v>
      </c>
      <c r="G330" s="3" t="str">
        <f t="shared" si="37"/>
        <v>Fri</v>
      </c>
      <c r="H330" s="1" t="s">
        <v>419</v>
      </c>
      <c r="I330" s="1" t="s">
        <v>149</v>
      </c>
      <c r="J330" s="1" t="s">
        <v>119</v>
      </c>
      <c r="K330" s="1" t="str">
        <f>_xlfn.XLOOKUP($J330, items_clean!$A:$A, items_clean!$B:$B, "")</f>
        <v>HDR-HCH-MD</v>
      </c>
      <c r="L330" s="1" t="str">
        <f>_xlfn.XLOOKUP($J330, items_clean!$A:$A, items_clean!$C:$C, "")</f>
        <v>Hot Chocolate</v>
      </c>
      <c r="M330" s="1" t="str">
        <f>_xlfn.XLOOKUP($J330, items_clean!$A:$A, items_clean!$D:$D, "")</f>
        <v>Hot Drinks</v>
      </c>
      <c r="N330" s="1" t="str">
        <f>_xlfn.XLOOKUP($J330, items_clean!$A:$A, items_clean!$E:$E, "")</f>
        <v>Medium</v>
      </c>
      <c r="O330" s="3">
        <v>1</v>
      </c>
      <c r="P330" s="2">
        <f>_xlfn.XLOOKUP($J330, items_clean!$A:$A, items_clean!$F:$F, "")</f>
        <v>4.2</v>
      </c>
      <c r="Q330" s="2">
        <f t="shared" si="38"/>
        <v>4.2</v>
      </c>
      <c r="R330" s="7">
        <f>_xlfn.XLOOKUP(K330, recipe_cost!$A:$A, recipe_cost!$B:$B, "")</f>
        <v>1.0509999999999999</v>
      </c>
      <c r="S330" s="10">
        <f t="shared" si="39"/>
        <v>1.0509999999999999</v>
      </c>
      <c r="T330" s="10">
        <f t="shared" si="40"/>
        <v>3.149</v>
      </c>
      <c r="U330" s="9">
        <f t="shared" si="41"/>
        <v>0.74976190476190474</v>
      </c>
    </row>
    <row r="331" spans="1:21" x14ac:dyDescent="0.3">
      <c r="A331" s="1">
        <v>330</v>
      </c>
      <c r="B331" s="1" t="s">
        <v>534</v>
      </c>
      <c r="C331" s="4">
        <v>45338.371527777781</v>
      </c>
      <c r="D331" s="5">
        <f t="shared" si="35"/>
        <v>45338</v>
      </c>
      <c r="E331" s="3">
        <f t="shared" si="36"/>
        <v>8</v>
      </c>
      <c r="F331" s="1" t="str" cm="1">
        <f t="array" ref="F331">_xlfn.IFS(
E331&lt;11,"Morning",
E331&lt;15,"Afternoon",
TRUE,"Evening"
)</f>
        <v>Morning</v>
      </c>
      <c r="G331" s="3" t="str">
        <f t="shared" si="37"/>
        <v>Fri</v>
      </c>
      <c r="H331" s="1" t="s">
        <v>163</v>
      </c>
      <c r="I331" s="1" t="s">
        <v>149</v>
      </c>
      <c r="J331" s="1" t="s">
        <v>115</v>
      </c>
      <c r="K331" s="1" t="str">
        <f>_xlfn.XLOOKUP($J331, items_clean!$A:$A, items_clean!$B:$B, "")</f>
        <v>HDR-MOC-LG</v>
      </c>
      <c r="L331" s="1" t="str">
        <f>_xlfn.XLOOKUP($J331, items_clean!$A:$A, items_clean!$C:$C, "")</f>
        <v>Mocha</v>
      </c>
      <c r="M331" s="1" t="str">
        <f>_xlfn.XLOOKUP($J331, items_clean!$A:$A, items_clean!$D:$D, "")</f>
        <v>Hot Drinks</v>
      </c>
      <c r="N331" s="1" t="str">
        <f>_xlfn.XLOOKUP($J331, items_clean!$A:$A, items_clean!$E:$E, "")</f>
        <v>Large</v>
      </c>
      <c r="O331" s="3">
        <v>1</v>
      </c>
      <c r="P331" s="2">
        <f>_xlfn.XLOOKUP($J331, items_clean!$A:$A, items_clean!$F:$F, "")</f>
        <v>4.5999999999999996</v>
      </c>
      <c r="Q331" s="2">
        <f t="shared" si="38"/>
        <v>4.5999999999999996</v>
      </c>
      <c r="R331" s="7">
        <f>_xlfn.XLOOKUP(K331, recipe_cost!$A:$A, recipe_cost!$B:$B, "")</f>
        <v>0.56669999999999998</v>
      </c>
      <c r="S331" s="10">
        <f t="shared" si="39"/>
        <v>0.56669999999999998</v>
      </c>
      <c r="T331" s="10">
        <f t="shared" si="40"/>
        <v>4.0332999999999997</v>
      </c>
      <c r="U331" s="9">
        <f t="shared" si="41"/>
        <v>0.87680434782608696</v>
      </c>
    </row>
    <row r="332" spans="1:21" x14ac:dyDescent="0.3">
      <c r="A332" s="1">
        <v>331</v>
      </c>
      <c r="B332" s="1" t="s">
        <v>535</v>
      </c>
      <c r="C332" s="4">
        <v>45338.376388888886</v>
      </c>
      <c r="D332" s="5">
        <f t="shared" si="35"/>
        <v>45338</v>
      </c>
      <c r="E332" s="3">
        <f t="shared" si="36"/>
        <v>9</v>
      </c>
      <c r="F332" s="1" t="str" cm="1">
        <f t="array" ref="F332">_xlfn.IFS(
E332&lt;11,"Morning",
E332&lt;15,"Afternoon",
TRUE,"Evening"
)</f>
        <v>Morning</v>
      </c>
      <c r="G332" s="3" t="str">
        <f t="shared" si="37"/>
        <v>Fri</v>
      </c>
      <c r="H332" s="1" t="s">
        <v>508</v>
      </c>
      <c r="I332" s="1" t="s">
        <v>146</v>
      </c>
      <c r="J332" s="1" t="s">
        <v>111</v>
      </c>
      <c r="K332" s="1" t="str">
        <f>_xlfn.XLOOKUP($J332, items_clean!$A:$A, items_clean!$B:$B, "")</f>
        <v>HDR-ESP</v>
      </c>
      <c r="L332" s="1" t="str">
        <f>_xlfn.XLOOKUP($J332, items_clean!$A:$A, items_clean!$C:$C, "")</f>
        <v>Espresso</v>
      </c>
      <c r="M332" s="1" t="str">
        <f>_xlfn.XLOOKUP($J332, items_clean!$A:$A, items_clean!$D:$D, "")</f>
        <v>Hot Drinks</v>
      </c>
      <c r="N332" s="1" t="str">
        <f>_xlfn.XLOOKUP($J332, items_clean!$A:$A, items_clean!$E:$E, "")</f>
        <v>N/A</v>
      </c>
      <c r="O332" s="3">
        <v>1</v>
      </c>
      <c r="P332" s="2">
        <f>_xlfn.XLOOKUP($J332, items_clean!$A:$A, items_clean!$F:$F, "")</f>
        <v>2.15</v>
      </c>
      <c r="Q332" s="2">
        <f t="shared" si="38"/>
        <v>2.15</v>
      </c>
      <c r="R332" s="7">
        <f>_xlfn.XLOOKUP(K332, recipe_cost!$A:$A, recipe_cost!$B:$B, "")</f>
        <v>9.6000000000000002E-2</v>
      </c>
      <c r="S332" s="10">
        <f t="shared" si="39"/>
        <v>9.6000000000000002E-2</v>
      </c>
      <c r="T332" s="10">
        <f t="shared" si="40"/>
        <v>2.0539999999999998</v>
      </c>
      <c r="U332" s="9">
        <f t="shared" si="41"/>
        <v>0.9553488372093023</v>
      </c>
    </row>
    <row r="333" spans="1:21" x14ac:dyDescent="0.3">
      <c r="A333" s="1">
        <v>332</v>
      </c>
      <c r="B333" s="1" t="s">
        <v>536</v>
      </c>
      <c r="C333" s="4">
        <v>45338.381249999999</v>
      </c>
      <c r="D333" s="5">
        <f t="shared" si="35"/>
        <v>45338</v>
      </c>
      <c r="E333" s="3">
        <f t="shared" si="36"/>
        <v>9</v>
      </c>
      <c r="F333" s="1" t="str" cm="1">
        <f t="array" ref="F333">_xlfn.IFS(
E333&lt;11,"Morning",
E333&lt;15,"Afternoon",
TRUE,"Evening"
)</f>
        <v>Morning</v>
      </c>
      <c r="G333" s="3" t="str">
        <f t="shared" si="37"/>
        <v>Fri</v>
      </c>
      <c r="H333" s="1" t="s">
        <v>426</v>
      </c>
      <c r="I333" s="1" t="s">
        <v>149</v>
      </c>
      <c r="J333" s="1" t="s">
        <v>100</v>
      </c>
      <c r="K333" s="1" t="str">
        <f>_xlfn.XLOOKUP($J333, items_clean!$A:$A, items_clean!$B:$B, "")</f>
        <v>HDR-CAP-LG</v>
      </c>
      <c r="L333" s="1" t="str">
        <f>_xlfn.XLOOKUP($J333, items_clean!$A:$A, items_clean!$C:$C, "")</f>
        <v>Cappuccino</v>
      </c>
      <c r="M333" s="1" t="str">
        <f>_xlfn.XLOOKUP($J333, items_clean!$A:$A, items_clean!$D:$D, "")</f>
        <v>Hot Drinks</v>
      </c>
      <c r="N333" s="1" t="str">
        <f>_xlfn.XLOOKUP($J333, items_clean!$A:$A, items_clean!$E:$E, "")</f>
        <v>Large</v>
      </c>
      <c r="O333" s="3">
        <v>1</v>
      </c>
      <c r="P333" s="2">
        <f>_xlfn.XLOOKUP($J333, items_clean!$A:$A, items_clean!$F:$F, "")</f>
        <v>3.75</v>
      </c>
      <c r="Q333" s="2">
        <f t="shared" si="38"/>
        <v>3.75</v>
      </c>
      <c r="R333" s="7">
        <f>_xlfn.XLOOKUP(K333, recipe_cost!$A:$A, recipe_cost!$B:$B, "")</f>
        <v>0.33599999999999997</v>
      </c>
      <c r="S333" s="10">
        <f t="shared" si="39"/>
        <v>0.33599999999999997</v>
      </c>
      <c r="T333" s="10">
        <f t="shared" si="40"/>
        <v>3.4140000000000001</v>
      </c>
      <c r="U333" s="9">
        <f t="shared" si="41"/>
        <v>0.91039999999999999</v>
      </c>
    </row>
    <row r="334" spans="1:21" x14ac:dyDescent="0.3">
      <c r="A334" s="1">
        <v>333</v>
      </c>
      <c r="B334" s="1" t="s">
        <v>536</v>
      </c>
      <c r="C334" s="4">
        <v>45338.381249999999</v>
      </c>
      <c r="D334" s="5">
        <f t="shared" si="35"/>
        <v>45338</v>
      </c>
      <c r="E334" s="3">
        <f t="shared" si="36"/>
        <v>9</v>
      </c>
      <c r="F334" s="1" t="str" cm="1">
        <f t="array" ref="F334">_xlfn.IFS(
E334&lt;11,"Morning",
E334&lt;15,"Afternoon",
TRUE,"Evening"
)</f>
        <v>Morning</v>
      </c>
      <c r="G334" s="3" t="str">
        <f t="shared" si="37"/>
        <v>Fri</v>
      </c>
      <c r="H334" s="1" t="s">
        <v>426</v>
      </c>
      <c r="I334" s="1" t="s">
        <v>778</v>
      </c>
      <c r="J334" s="1" t="s">
        <v>121</v>
      </c>
      <c r="K334" s="1" t="str">
        <f>_xlfn.XLOOKUP($J334, items_clean!$A:$A, items_clean!$B:$B, "")</f>
        <v>HDR-HCH-LG</v>
      </c>
      <c r="L334" s="1" t="str">
        <f>_xlfn.XLOOKUP($J334, items_clean!$A:$A, items_clean!$C:$C, "")</f>
        <v>Hot Chocolate</v>
      </c>
      <c r="M334" s="1" t="str">
        <f>_xlfn.XLOOKUP($J334, items_clean!$A:$A, items_clean!$D:$D, "")</f>
        <v>Hot Drinks</v>
      </c>
      <c r="N334" s="1" t="str">
        <f>_xlfn.XLOOKUP($J334, items_clean!$A:$A, items_clean!$E:$E, "")</f>
        <v>Large</v>
      </c>
      <c r="O334" s="3">
        <v>1</v>
      </c>
      <c r="P334" s="2">
        <f>_xlfn.XLOOKUP($J334, items_clean!$A:$A, items_clean!$F:$F, "")</f>
        <v>4.5999999999999996</v>
      </c>
      <c r="Q334" s="2">
        <f t="shared" si="38"/>
        <v>4.5999999999999996</v>
      </c>
      <c r="R334" s="7">
        <f>_xlfn.XLOOKUP(K334, recipe_cost!$A:$A, recipe_cost!$B:$B, "")</f>
        <v>1.4809999999999999</v>
      </c>
      <c r="S334" s="10">
        <f t="shared" si="39"/>
        <v>1.4809999999999999</v>
      </c>
      <c r="T334" s="10">
        <f t="shared" si="40"/>
        <v>3.1189999999999998</v>
      </c>
      <c r="U334" s="9">
        <f t="shared" si="41"/>
        <v>0.67804347826086953</v>
      </c>
    </row>
    <row r="335" spans="1:21" x14ac:dyDescent="0.3">
      <c r="A335" s="1">
        <v>334</v>
      </c>
      <c r="B335" s="1" t="s">
        <v>537</v>
      </c>
      <c r="C335" s="4">
        <v>45338.386111111111</v>
      </c>
      <c r="D335" s="5">
        <f t="shared" si="35"/>
        <v>45338</v>
      </c>
      <c r="E335" s="3">
        <f t="shared" si="36"/>
        <v>9</v>
      </c>
      <c r="F335" s="1" t="str" cm="1">
        <f t="array" ref="F335">_xlfn.IFS(
E335&lt;11,"Morning",
E335&lt;15,"Afternoon",
TRUE,"Evening"
)</f>
        <v>Morning</v>
      </c>
      <c r="G335" s="3" t="str">
        <f t="shared" si="37"/>
        <v>Fri</v>
      </c>
      <c r="H335" s="1" t="s">
        <v>428</v>
      </c>
      <c r="I335" s="1" t="s">
        <v>146</v>
      </c>
      <c r="J335" s="1" t="s">
        <v>126</v>
      </c>
      <c r="K335" s="1" t="str">
        <f>_xlfn.XLOOKUP($J335, items_clean!$A:$A, items_clean!$B:$B, "")</f>
        <v>CDR-CMO-MD</v>
      </c>
      <c r="L335" s="1" t="str">
        <f>_xlfn.XLOOKUP($J335, items_clean!$A:$A, items_clean!$C:$C, "")</f>
        <v>Cold Mocha</v>
      </c>
      <c r="M335" s="1" t="str">
        <f>_xlfn.XLOOKUP($J335, items_clean!$A:$A, items_clean!$D:$D, "")</f>
        <v>Cold Drinks</v>
      </c>
      <c r="N335" s="1" t="str">
        <f>_xlfn.XLOOKUP($J335, items_clean!$A:$A, items_clean!$E:$E, "")</f>
        <v>Medium</v>
      </c>
      <c r="O335" s="3">
        <v>1</v>
      </c>
      <c r="P335" s="2">
        <f>_xlfn.XLOOKUP($J335, items_clean!$A:$A, items_clean!$F:$F, "")</f>
        <v>4</v>
      </c>
      <c r="Q335" s="2">
        <f t="shared" si="38"/>
        <v>4</v>
      </c>
      <c r="R335" s="7">
        <f>_xlfn.XLOOKUP(K335, recipe_cost!$A:$A, recipe_cost!$B:$B, "")</f>
        <v>0.4098</v>
      </c>
      <c r="S335" s="10">
        <f t="shared" si="39"/>
        <v>0.4098</v>
      </c>
      <c r="T335" s="10">
        <f t="shared" si="40"/>
        <v>3.5901999999999998</v>
      </c>
      <c r="U335" s="9">
        <f t="shared" si="41"/>
        <v>0.89754999999999996</v>
      </c>
    </row>
    <row r="336" spans="1:21" x14ac:dyDescent="0.3">
      <c r="A336" s="1">
        <v>335</v>
      </c>
      <c r="B336" s="1" t="s">
        <v>538</v>
      </c>
      <c r="C336" s="4">
        <v>45338.390972222223</v>
      </c>
      <c r="D336" s="5">
        <f t="shared" si="35"/>
        <v>45338</v>
      </c>
      <c r="E336" s="3">
        <f t="shared" si="36"/>
        <v>9</v>
      </c>
      <c r="F336" s="1" t="str" cm="1">
        <f t="array" ref="F336">_xlfn.IFS(
E336&lt;11,"Morning",
E336&lt;15,"Afternoon",
TRUE,"Evening"
)</f>
        <v>Morning</v>
      </c>
      <c r="G336" s="3" t="str">
        <f t="shared" si="37"/>
        <v>Fri</v>
      </c>
      <c r="H336" s="1" t="s">
        <v>539</v>
      </c>
      <c r="I336" s="1" t="s">
        <v>149</v>
      </c>
      <c r="J336" s="1" t="s">
        <v>138</v>
      </c>
      <c r="K336" s="1" t="str">
        <f>_xlfn.XLOOKUP($J336, items_clean!$A:$A, items_clean!$B:$B, "")</f>
        <v>SNK-SSM</v>
      </c>
      <c r="L336" s="1" t="str">
        <f>_xlfn.XLOOKUP($J336, items_clean!$A:$A, items_clean!$C:$C, "")</f>
        <v>Sandwich Salami&amp;Mozzarella</v>
      </c>
      <c r="M336" s="1" t="str">
        <f>_xlfn.XLOOKUP($J336, items_clean!$A:$A, items_clean!$D:$D, "")</f>
        <v>Snacks</v>
      </c>
      <c r="N336" s="1" t="str">
        <f>_xlfn.XLOOKUP($J336, items_clean!$A:$A, items_clean!$E:$E, "")</f>
        <v>N/A</v>
      </c>
      <c r="O336" s="3">
        <v>1</v>
      </c>
      <c r="P336" s="2">
        <f>_xlfn.XLOOKUP($J336, items_clean!$A:$A, items_clean!$F:$F, "")</f>
        <v>5.5</v>
      </c>
      <c r="Q336" s="2">
        <f t="shared" si="38"/>
        <v>5.5</v>
      </c>
      <c r="R336" s="7">
        <f>_xlfn.XLOOKUP(K336, recipe_cost!$A:$A, recipe_cost!$B:$B, "")</f>
        <v>1.3120000000000001</v>
      </c>
      <c r="S336" s="10">
        <f t="shared" si="39"/>
        <v>1.3120000000000001</v>
      </c>
      <c r="T336" s="10">
        <f t="shared" si="40"/>
        <v>4.1879999999999997</v>
      </c>
      <c r="U336" s="9">
        <f t="shared" si="41"/>
        <v>0.76145454545454538</v>
      </c>
    </row>
    <row r="337" spans="1:21" x14ac:dyDescent="0.3">
      <c r="A337" s="1">
        <v>336</v>
      </c>
      <c r="B337" s="1" t="s">
        <v>540</v>
      </c>
      <c r="C337" s="4">
        <v>45338.395833333336</v>
      </c>
      <c r="D337" s="5">
        <f t="shared" si="35"/>
        <v>45338</v>
      </c>
      <c r="E337" s="3">
        <f t="shared" si="36"/>
        <v>9</v>
      </c>
      <c r="F337" s="1" t="str" cm="1">
        <f t="array" ref="F337">_xlfn.IFS(
E337&lt;11,"Morning",
E337&lt;15,"Afternoon",
TRUE,"Evening"
)</f>
        <v>Morning</v>
      </c>
      <c r="G337" s="3" t="str">
        <f t="shared" si="37"/>
        <v>Fri</v>
      </c>
      <c r="H337" s="1" t="s">
        <v>432</v>
      </c>
      <c r="I337" s="1" t="s">
        <v>146</v>
      </c>
      <c r="J337" s="1" t="s">
        <v>132</v>
      </c>
      <c r="K337" s="1" t="str">
        <f>_xlfn.XLOOKUP($J337, items_clean!$A:$A, items_clean!$B:$B, "")</f>
        <v>CDR-LMN-MD</v>
      </c>
      <c r="L337" s="1" t="str">
        <f>_xlfn.XLOOKUP($J337, items_clean!$A:$A, items_clean!$C:$C, "")</f>
        <v>Lemonade</v>
      </c>
      <c r="M337" s="1" t="str">
        <f>_xlfn.XLOOKUP($J337, items_clean!$A:$A, items_clean!$D:$D, "")</f>
        <v>Cold Drinks</v>
      </c>
      <c r="N337" s="1" t="str">
        <f>_xlfn.XLOOKUP($J337, items_clean!$A:$A, items_clean!$E:$E, "")</f>
        <v>Medium</v>
      </c>
      <c r="O337" s="3">
        <v>1</v>
      </c>
      <c r="P337" s="2">
        <f>_xlfn.XLOOKUP($J337, items_clean!$A:$A, items_clean!$F:$F, "")</f>
        <v>3.35</v>
      </c>
      <c r="Q337" s="2">
        <f t="shared" si="38"/>
        <v>3.35</v>
      </c>
      <c r="R337" s="7">
        <f>_xlfn.XLOOKUP(K337, recipe_cost!$A:$A, recipe_cost!$B:$B, "")</f>
        <v>0.34499999999999997</v>
      </c>
      <c r="S337" s="10">
        <f t="shared" si="39"/>
        <v>0.34499999999999997</v>
      </c>
      <c r="T337" s="10">
        <f t="shared" si="40"/>
        <v>3.0049999999999999</v>
      </c>
      <c r="U337" s="9">
        <f t="shared" si="41"/>
        <v>0.89701492537313432</v>
      </c>
    </row>
    <row r="338" spans="1:21" x14ac:dyDescent="0.3">
      <c r="A338" s="1">
        <v>337</v>
      </c>
      <c r="B338" s="1" t="s">
        <v>541</v>
      </c>
      <c r="C338" s="4">
        <v>45338.401388888888</v>
      </c>
      <c r="D338" s="5">
        <f t="shared" si="35"/>
        <v>45338</v>
      </c>
      <c r="E338" s="3">
        <f t="shared" si="36"/>
        <v>9</v>
      </c>
      <c r="F338" s="1" t="str" cm="1">
        <f t="array" ref="F338">_xlfn.IFS(
E338&lt;11,"Morning",
E338&lt;15,"Afternoon",
TRUE,"Evening"
)</f>
        <v>Morning</v>
      </c>
      <c r="G338" s="3" t="str">
        <f t="shared" si="37"/>
        <v>Fri</v>
      </c>
      <c r="H338" s="1" t="s">
        <v>434</v>
      </c>
      <c r="I338" s="1" t="s">
        <v>149</v>
      </c>
      <c r="J338" s="1" t="s">
        <v>125</v>
      </c>
      <c r="K338" s="1" t="str">
        <f>_xlfn.XLOOKUP($J338, items_clean!$A:$A, items_clean!$B:$B, "")</f>
        <v>CDR-CCF-LG</v>
      </c>
      <c r="L338" s="1" t="str">
        <f>_xlfn.XLOOKUP($J338, items_clean!$A:$A, items_clean!$C:$C, "")</f>
        <v>Cold Coffee</v>
      </c>
      <c r="M338" s="1" t="str">
        <f>_xlfn.XLOOKUP($J338, items_clean!$A:$A, items_clean!$D:$D, "")</f>
        <v>Cold Drinks</v>
      </c>
      <c r="N338" s="1" t="str">
        <f>_xlfn.XLOOKUP($J338, items_clean!$A:$A, items_clean!$E:$E, "")</f>
        <v>Large</v>
      </c>
      <c r="O338" s="3">
        <v>1</v>
      </c>
      <c r="P338" s="2">
        <f>_xlfn.XLOOKUP($J338, items_clean!$A:$A, items_clean!$F:$F, "")</f>
        <v>3.75</v>
      </c>
      <c r="Q338" s="2">
        <f t="shared" si="38"/>
        <v>3.75</v>
      </c>
      <c r="R338" s="7">
        <f>_xlfn.XLOOKUP(K338, recipe_cost!$A:$A, recipe_cost!$B:$B, "")</f>
        <v>0.33599999999999997</v>
      </c>
      <c r="S338" s="10">
        <f t="shared" si="39"/>
        <v>0.33599999999999997</v>
      </c>
      <c r="T338" s="10">
        <f t="shared" si="40"/>
        <v>3.4140000000000001</v>
      </c>
      <c r="U338" s="9">
        <f t="shared" si="41"/>
        <v>0.91039999999999999</v>
      </c>
    </row>
    <row r="339" spans="1:21" x14ac:dyDescent="0.3">
      <c r="A339" s="1">
        <v>338</v>
      </c>
      <c r="B339" s="1" t="s">
        <v>545</v>
      </c>
      <c r="C339" s="4">
        <v>45338.415972222225</v>
      </c>
      <c r="D339" s="5">
        <f t="shared" si="35"/>
        <v>45338</v>
      </c>
      <c r="E339" s="3">
        <f t="shared" si="36"/>
        <v>9</v>
      </c>
      <c r="F339" s="1" t="str" cm="1">
        <f t="array" ref="F339">_xlfn.IFS(
E339&lt;11,"Morning",
E339&lt;15,"Afternoon",
TRUE,"Evening"
)</f>
        <v>Morning</v>
      </c>
      <c r="G339" s="3" t="str">
        <f t="shared" si="37"/>
        <v>Fri</v>
      </c>
      <c r="H339" s="1" t="s">
        <v>546</v>
      </c>
      <c r="I339" s="1" t="s">
        <v>146</v>
      </c>
      <c r="J339" s="1" t="s">
        <v>96</v>
      </c>
      <c r="K339" s="1" t="str">
        <f>_xlfn.XLOOKUP($J339, items_clean!$A:$A, items_clean!$B:$B, "")</f>
        <v>HDR-CAP-MD</v>
      </c>
      <c r="L339" s="1" t="str">
        <f>_xlfn.XLOOKUP($J339, items_clean!$A:$A, items_clean!$C:$C, "")</f>
        <v>Cappuccino</v>
      </c>
      <c r="M339" s="1" t="str">
        <f>_xlfn.XLOOKUP($J339, items_clean!$A:$A, items_clean!$D:$D, "")</f>
        <v>Hot Drinks</v>
      </c>
      <c r="N339" s="1" t="str">
        <f>_xlfn.XLOOKUP($J339, items_clean!$A:$A, items_clean!$E:$E, "")</f>
        <v>Medium</v>
      </c>
      <c r="O339" s="3">
        <v>1</v>
      </c>
      <c r="P339" s="2">
        <f>_xlfn.XLOOKUP($J339, items_clean!$A:$A, items_clean!$F:$F, "")</f>
        <v>3.45</v>
      </c>
      <c r="Q339" s="2">
        <f t="shared" si="38"/>
        <v>3.45</v>
      </c>
      <c r="R339" s="7">
        <f>_xlfn.XLOOKUP(K339, recipe_cost!$A:$A, recipe_cost!$B:$B, "")</f>
        <v>0.252</v>
      </c>
      <c r="S339" s="10">
        <f t="shared" si="39"/>
        <v>0.252</v>
      </c>
      <c r="T339" s="10">
        <f t="shared" si="40"/>
        <v>3.1980000000000004</v>
      </c>
      <c r="U339" s="9">
        <f t="shared" si="41"/>
        <v>0.92695652173913046</v>
      </c>
    </row>
    <row r="340" spans="1:21" x14ac:dyDescent="0.3">
      <c r="A340" s="1">
        <v>339</v>
      </c>
      <c r="B340" s="1" t="s">
        <v>547</v>
      </c>
      <c r="C340" s="4">
        <v>45338.420138888891</v>
      </c>
      <c r="D340" s="5">
        <f t="shared" si="35"/>
        <v>45338</v>
      </c>
      <c r="E340" s="3">
        <f t="shared" si="36"/>
        <v>10</v>
      </c>
      <c r="F340" s="1" t="str" cm="1">
        <f t="array" ref="F340">_xlfn.IFS(
E340&lt;11,"Morning",
E340&lt;15,"Afternoon",
TRUE,"Evening"
)</f>
        <v>Morning</v>
      </c>
      <c r="G340" s="3" t="str">
        <f t="shared" si="37"/>
        <v>Fri</v>
      </c>
      <c r="H340" s="1" t="s">
        <v>436</v>
      </c>
      <c r="I340" s="1" t="s">
        <v>149</v>
      </c>
      <c r="J340" s="1" t="s">
        <v>102</v>
      </c>
      <c r="K340" s="1" t="str">
        <f>_xlfn.XLOOKUP($J340, items_clean!$A:$A, items_clean!$B:$B, "")</f>
        <v>HDR-LAT-MD</v>
      </c>
      <c r="L340" s="1" t="str">
        <f>_xlfn.XLOOKUP($J340, items_clean!$A:$A, items_clean!$C:$C, "")</f>
        <v>Latte</v>
      </c>
      <c r="M340" s="1" t="str">
        <f>_xlfn.XLOOKUP($J340, items_clean!$A:$A, items_clean!$D:$D, "")</f>
        <v>Hot Drinks</v>
      </c>
      <c r="N340" s="1" t="str">
        <f>_xlfn.XLOOKUP($J340, items_clean!$A:$A, items_clean!$E:$E, "")</f>
        <v>Medium</v>
      </c>
      <c r="O340" s="3">
        <v>1</v>
      </c>
      <c r="P340" s="2">
        <f>_xlfn.XLOOKUP($J340, items_clean!$A:$A, items_clean!$F:$F, "")</f>
        <v>3.45</v>
      </c>
      <c r="Q340" s="2">
        <f t="shared" si="38"/>
        <v>3.45</v>
      </c>
      <c r="R340" s="7">
        <f>_xlfn.XLOOKUP(K340, recipe_cost!$A:$A, recipe_cost!$B:$B, "")</f>
        <v>0.252</v>
      </c>
      <c r="S340" s="10">
        <f t="shared" si="39"/>
        <v>0.252</v>
      </c>
      <c r="T340" s="10">
        <f t="shared" si="40"/>
        <v>3.1980000000000004</v>
      </c>
      <c r="U340" s="9">
        <f t="shared" si="41"/>
        <v>0.92695652173913046</v>
      </c>
    </row>
    <row r="341" spans="1:21" x14ac:dyDescent="0.3">
      <c r="A341" s="1">
        <v>340</v>
      </c>
      <c r="B341" s="1" t="s">
        <v>548</v>
      </c>
      <c r="C341" s="4">
        <v>45338.431250000001</v>
      </c>
      <c r="D341" s="5">
        <f t="shared" si="35"/>
        <v>45338</v>
      </c>
      <c r="E341" s="3">
        <f t="shared" si="36"/>
        <v>10</v>
      </c>
      <c r="F341" s="1" t="str" cm="1">
        <f t="array" ref="F341">_xlfn.IFS(
E341&lt;11,"Morning",
E341&lt;15,"Afternoon",
TRUE,"Evening"
)</f>
        <v>Morning</v>
      </c>
      <c r="G341" s="3" t="str">
        <f t="shared" si="37"/>
        <v>Fri</v>
      </c>
      <c r="H341" s="1" t="s">
        <v>549</v>
      </c>
      <c r="I341" s="1" t="s">
        <v>146</v>
      </c>
      <c r="J341" s="1" t="s">
        <v>131</v>
      </c>
      <c r="K341" s="1" t="str">
        <f>_xlfn.XLOOKUP($J341, items_clean!$A:$A, items_clean!$B:$B, "")</f>
        <v>CDR-ICT-LG</v>
      </c>
      <c r="L341" s="1" t="str">
        <f>_xlfn.XLOOKUP($J341, items_clean!$A:$A, items_clean!$C:$C, "")</f>
        <v>Iced Tea</v>
      </c>
      <c r="M341" s="1" t="str">
        <f>_xlfn.XLOOKUP($J341, items_clean!$A:$A, items_clean!$D:$D, "")</f>
        <v>Cold Drinks</v>
      </c>
      <c r="N341" s="1" t="str">
        <f>_xlfn.XLOOKUP($J341, items_clean!$A:$A, items_clean!$E:$E, "")</f>
        <v>Large</v>
      </c>
      <c r="O341" s="3">
        <v>1</v>
      </c>
      <c r="P341" s="2">
        <f>_xlfn.XLOOKUP($J341, items_clean!$A:$A, items_clean!$F:$F, "")</f>
        <v>3.55</v>
      </c>
      <c r="Q341" s="2">
        <f t="shared" si="38"/>
        <v>3.55</v>
      </c>
      <c r="R341" s="7">
        <f>_xlfn.XLOOKUP(K341, recipe_cost!$A:$A, recipe_cost!$B:$B, "")</f>
        <v>0.26984999999999998</v>
      </c>
      <c r="S341" s="10">
        <f t="shared" si="39"/>
        <v>0.26984999999999998</v>
      </c>
      <c r="T341" s="10">
        <f t="shared" si="40"/>
        <v>3.2801499999999999</v>
      </c>
      <c r="U341" s="9">
        <f t="shared" si="41"/>
        <v>0.92398591549295772</v>
      </c>
    </row>
    <row r="342" spans="1:21" x14ac:dyDescent="0.3">
      <c r="A342" s="1">
        <v>341</v>
      </c>
      <c r="B342" s="1" t="s">
        <v>550</v>
      </c>
      <c r="C342" s="4">
        <v>45338.443055555559</v>
      </c>
      <c r="D342" s="5">
        <f t="shared" si="35"/>
        <v>45338</v>
      </c>
      <c r="E342" s="3">
        <f t="shared" si="36"/>
        <v>10</v>
      </c>
      <c r="F342" s="1" t="str" cm="1">
        <f t="array" ref="F342">_xlfn.IFS(
E342&lt;11,"Morning",
E342&lt;15,"Afternoon",
TRUE,"Evening"
)</f>
        <v>Morning</v>
      </c>
      <c r="G342" s="3" t="str">
        <f t="shared" si="37"/>
        <v>Fri</v>
      </c>
      <c r="H342" s="1" t="s">
        <v>551</v>
      </c>
      <c r="I342" s="1" t="s">
        <v>149</v>
      </c>
      <c r="J342" s="1" t="s">
        <v>111</v>
      </c>
      <c r="K342" s="1" t="str">
        <f>_xlfn.XLOOKUP($J342, items_clean!$A:$A, items_clean!$B:$B, "")</f>
        <v>HDR-ESP</v>
      </c>
      <c r="L342" s="1" t="str">
        <f>_xlfn.XLOOKUP($J342, items_clean!$A:$A, items_clean!$C:$C, "")</f>
        <v>Espresso</v>
      </c>
      <c r="M342" s="1" t="str">
        <f>_xlfn.XLOOKUP($J342, items_clean!$A:$A, items_clean!$D:$D, "")</f>
        <v>Hot Drinks</v>
      </c>
      <c r="N342" s="1" t="str">
        <f>_xlfn.XLOOKUP($J342, items_clean!$A:$A, items_clean!$E:$E, "")</f>
        <v>N/A</v>
      </c>
      <c r="O342" s="3">
        <v>1</v>
      </c>
      <c r="P342" s="2">
        <f>_xlfn.XLOOKUP($J342, items_clean!$A:$A, items_clean!$F:$F, "")</f>
        <v>2.15</v>
      </c>
      <c r="Q342" s="2">
        <f t="shared" si="38"/>
        <v>2.15</v>
      </c>
      <c r="R342" s="7">
        <f>_xlfn.XLOOKUP(K342, recipe_cost!$A:$A, recipe_cost!$B:$B, "")</f>
        <v>9.6000000000000002E-2</v>
      </c>
      <c r="S342" s="10">
        <f t="shared" si="39"/>
        <v>9.6000000000000002E-2</v>
      </c>
      <c r="T342" s="10">
        <f t="shared" si="40"/>
        <v>2.0539999999999998</v>
      </c>
      <c r="U342" s="9">
        <f t="shared" si="41"/>
        <v>0.9553488372093023</v>
      </c>
    </row>
    <row r="343" spans="1:21" x14ac:dyDescent="0.3">
      <c r="A343" s="1">
        <v>342</v>
      </c>
      <c r="B343" s="1" t="s">
        <v>552</v>
      </c>
      <c r="C343" s="4">
        <v>45338.45416666667</v>
      </c>
      <c r="D343" s="5">
        <f t="shared" si="35"/>
        <v>45338</v>
      </c>
      <c r="E343" s="3">
        <f t="shared" si="36"/>
        <v>10</v>
      </c>
      <c r="F343" s="1" t="str" cm="1">
        <f t="array" ref="F343">_xlfn.IFS(
E343&lt;11,"Morning",
E343&lt;15,"Afternoon",
TRUE,"Evening"
)</f>
        <v>Morning</v>
      </c>
      <c r="G343" s="3" t="str">
        <f t="shared" si="37"/>
        <v>Fri</v>
      </c>
      <c r="H343" s="1" t="s">
        <v>553</v>
      </c>
      <c r="I343" s="1" t="s">
        <v>146</v>
      </c>
      <c r="J343" s="1" t="s">
        <v>126</v>
      </c>
      <c r="K343" s="1" t="str">
        <f>_xlfn.XLOOKUP($J343, items_clean!$A:$A, items_clean!$B:$B, "")</f>
        <v>CDR-CMO-MD</v>
      </c>
      <c r="L343" s="1" t="str">
        <f>_xlfn.XLOOKUP($J343, items_clean!$A:$A, items_clean!$C:$C, "")</f>
        <v>Cold Mocha</v>
      </c>
      <c r="M343" s="1" t="str">
        <f>_xlfn.XLOOKUP($J343, items_clean!$A:$A, items_clean!$D:$D, "")</f>
        <v>Cold Drinks</v>
      </c>
      <c r="N343" s="1" t="str">
        <f>_xlfn.XLOOKUP($J343, items_clean!$A:$A, items_clean!$E:$E, "")</f>
        <v>Medium</v>
      </c>
      <c r="O343" s="3">
        <v>1</v>
      </c>
      <c r="P343" s="2">
        <f>_xlfn.XLOOKUP($J343, items_clean!$A:$A, items_clean!$F:$F, "")</f>
        <v>4</v>
      </c>
      <c r="Q343" s="2">
        <f t="shared" si="38"/>
        <v>4</v>
      </c>
      <c r="R343" s="7">
        <f>_xlfn.XLOOKUP(K343, recipe_cost!$A:$A, recipe_cost!$B:$B, "")</f>
        <v>0.4098</v>
      </c>
      <c r="S343" s="10">
        <f t="shared" si="39"/>
        <v>0.4098</v>
      </c>
      <c r="T343" s="10">
        <f t="shared" si="40"/>
        <v>3.5901999999999998</v>
      </c>
      <c r="U343" s="9">
        <f t="shared" si="41"/>
        <v>0.89754999999999996</v>
      </c>
    </row>
    <row r="344" spans="1:21" x14ac:dyDescent="0.3">
      <c r="A344" s="1">
        <v>343</v>
      </c>
      <c r="B344" s="1" t="s">
        <v>554</v>
      </c>
      <c r="C344" s="4">
        <v>45338.465277777781</v>
      </c>
      <c r="D344" s="5">
        <f t="shared" si="35"/>
        <v>45338</v>
      </c>
      <c r="E344" s="3">
        <f t="shared" si="36"/>
        <v>11</v>
      </c>
      <c r="F344" s="1" t="str" cm="1">
        <f t="array" ref="F344">_xlfn.IFS(
E344&lt;11,"Morning",
E344&lt;15,"Afternoon",
TRUE,"Evening"
)</f>
        <v>Afternoon</v>
      </c>
      <c r="G344" s="3" t="str">
        <f t="shared" si="37"/>
        <v>Fri</v>
      </c>
      <c r="H344" s="1" t="s">
        <v>555</v>
      </c>
      <c r="I344" s="1" t="s">
        <v>149</v>
      </c>
      <c r="J344" s="1" t="s">
        <v>118</v>
      </c>
      <c r="K344" s="1" t="str">
        <f>_xlfn.XLOOKUP($J344, items_clean!$A:$A, items_clean!$B:$B, "")</f>
        <v>HDR-WMO-LG</v>
      </c>
      <c r="L344" s="1" t="str">
        <f>_xlfn.XLOOKUP($J344, items_clean!$A:$A, items_clean!$C:$C, "")</f>
        <v>White Mocha</v>
      </c>
      <c r="M344" s="1" t="str">
        <f>_xlfn.XLOOKUP($J344, items_clean!$A:$A, items_clean!$D:$D, "")</f>
        <v>Hot Drinks</v>
      </c>
      <c r="N344" s="1" t="str">
        <f>_xlfn.XLOOKUP($J344, items_clean!$A:$A, items_clean!$E:$E, "")</f>
        <v>Large</v>
      </c>
      <c r="O344" s="3">
        <v>1</v>
      </c>
      <c r="P344" s="2">
        <f>_xlfn.XLOOKUP($J344, items_clean!$A:$A, items_clean!$F:$F, "")</f>
        <v>4.7</v>
      </c>
      <c r="Q344" s="2">
        <f t="shared" si="38"/>
        <v>4.7</v>
      </c>
      <c r="R344" s="7">
        <f>_xlfn.XLOOKUP(K344, recipe_cost!$A:$A, recipe_cost!$B:$B, "")</f>
        <v>0.56669999999999998</v>
      </c>
      <c r="S344" s="10">
        <f t="shared" si="39"/>
        <v>0.56669999999999998</v>
      </c>
      <c r="T344" s="10">
        <f t="shared" si="40"/>
        <v>4.1333000000000002</v>
      </c>
      <c r="U344" s="9">
        <f t="shared" si="41"/>
        <v>0.87942553191489359</v>
      </c>
    </row>
    <row r="345" spans="1:21" x14ac:dyDescent="0.3">
      <c r="A345" s="1">
        <v>344</v>
      </c>
      <c r="B345" s="1" t="s">
        <v>556</v>
      </c>
      <c r="C345" s="4">
        <v>45338.476388888892</v>
      </c>
      <c r="D345" s="5">
        <f t="shared" si="35"/>
        <v>45338</v>
      </c>
      <c r="E345" s="3">
        <f t="shared" si="36"/>
        <v>11</v>
      </c>
      <c r="F345" s="1" t="str" cm="1">
        <f t="array" ref="F345">_xlfn.IFS(
E345&lt;11,"Morning",
E345&lt;15,"Afternoon",
TRUE,"Evening"
)</f>
        <v>Afternoon</v>
      </c>
      <c r="G345" s="3" t="str">
        <f t="shared" si="37"/>
        <v>Fri</v>
      </c>
      <c r="H345" s="1" t="s">
        <v>401</v>
      </c>
      <c r="I345" s="1" t="s">
        <v>146</v>
      </c>
      <c r="J345" s="1" t="s">
        <v>108</v>
      </c>
      <c r="K345" s="1" t="str">
        <f>_xlfn.XLOOKUP($J345, items_clean!$A:$A, items_clean!$B:$B, "")</f>
        <v>HDR-CRM-MD</v>
      </c>
      <c r="L345" s="1" t="str">
        <f>_xlfn.XLOOKUP($J345, items_clean!$A:$A, items_clean!$C:$C, "")</f>
        <v>Caramel Macchiato</v>
      </c>
      <c r="M345" s="1" t="str">
        <f>_xlfn.XLOOKUP($J345, items_clean!$A:$A, items_clean!$D:$D, "")</f>
        <v>Hot Drinks</v>
      </c>
      <c r="N345" s="1" t="str">
        <f>_xlfn.XLOOKUP($J345, items_clean!$A:$A, items_clean!$E:$E, "")</f>
        <v>Medium</v>
      </c>
      <c r="O345" s="3">
        <v>1</v>
      </c>
      <c r="P345" s="2">
        <f>_xlfn.XLOOKUP($J345, items_clean!$A:$A, items_clean!$F:$F, "")</f>
        <v>4.2</v>
      </c>
      <c r="Q345" s="2">
        <f t="shared" si="38"/>
        <v>4.2</v>
      </c>
      <c r="R345" s="7">
        <f>_xlfn.XLOOKUP(K345, recipe_cost!$A:$A, recipe_cost!$B:$B, "")</f>
        <v>0.4098</v>
      </c>
      <c r="S345" s="10">
        <f t="shared" si="39"/>
        <v>0.4098</v>
      </c>
      <c r="T345" s="10">
        <f t="shared" si="40"/>
        <v>3.7902</v>
      </c>
      <c r="U345" s="9">
        <f t="shared" si="41"/>
        <v>0.90242857142857136</v>
      </c>
    </row>
    <row r="346" spans="1:21" x14ac:dyDescent="0.3">
      <c r="A346" s="1">
        <v>345</v>
      </c>
      <c r="B346" s="1" t="s">
        <v>557</v>
      </c>
      <c r="C346" s="4">
        <v>45338.488194444442</v>
      </c>
      <c r="D346" s="5">
        <f t="shared" si="35"/>
        <v>45338</v>
      </c>
      <c r="E346" s="3">
        <f t="shared" si="36"/>
        <v>11</v>
      </c>
      <c r="F346" s="1" t="str" cm="1">
        <f t="array" ref="F346">_xlfn.IFS(
E346&lt;11,"Morning",
E346&lt;15,"Afternoon",
TRUE,"Evening"
)</f>
        <v>Afternoon</v>
      </c>
      <c r="G346" s="3" t="str">
        <f t="shared" si="37"/>
        <v>Fri</v>
      </c>
      <c r="H346" s="1" t="s">
        <v>558</v>
      </c>
      <c r="I346" s="1" t="s">
        <v>149</v>
      </c>
      <c r="J346" s="1" t="s">
        <v>138</v>
      </c>
      <c r="K346" s="1" t="str">
        <f>_xlfn.XLOOKUP($J346, items_clean!$A:$A, items_clean!$B:$B, "")</f>
        <v>SNK-SSM</v>
      </c>
      <c r="L346" s="1" t="str">
        <f>_xlfn.XLOOKUP($J346, items_clean!$A:$A, items_clean!$C:$C, "")</f>
        <v>Sandwich Salami&amp;Mozzarella</v>
      </c>
      <c r="M346" s="1" t="str">
        <f>_xlfn.XLOOKUP($J346, items_clean!$A:$A, items_clean!$D:$D, "")</f>
        <v>Snacks</v>
      </c>
      <c r="N346" s="1" t="str">
        <f>_xlfn.XLOOKUP($J346, items_clean!$A:$A, items_clean!$E:$E, "")</f>
        <v>N/A</v>
      </c>
      <c r="O346" s="3">
        <v>1</v>
      </c>
      <c r="P346" s="2">
        <f>_xlfn.XLOOKUP($J346, items_clean!$A:$A, items_clean!$F:$F, "")</f>
        <v>5.5</v>
      </c>
      <c r="Q346" s="2">
        <f t="shared" si="38"/>
        <v>5.5</v>
      </c>
      <c r="R346" s="7">
        <f>_xlfn.XLOOKUP(K346, recipe_cost!$A:$A, recipe_cost!$B:$B, "")</f>
        <v>1.3120000000000001</v>
      </c>
      <c r="S346" s="10">
        <f t="shared" si="39"/>
        <v>1.3120000000000001</v>
      </c>
      <c r="T346" s="10">
        <f t="shared" si="40"/>
        <v>4.1879999999999997</v>
      </c>
      <c r="U346" s="9">
        <f t="shared" si="41"/>
        <v>0.76145454545454538</v>
      </c>
    </row>
    <row r="347" spans="1:21" x14ac:dyDescent="0.3">
      <c r="A347" s="1">
        <v>346</v>
      </c>
      <c r="B347" s="1" t="s">
        <v>559</v>
      </c>
      <c r="C347" s="4">
        <v>45338.499305555553</v>
      </c>
      <c r="D347" s="5">
        <f t="shared" si="35"/>
        <v>45338</v>
      </c>
      <c r="E347" s="3">
        <f t="shared" si="36"/>
        <v>11</v>
      </c>
      <c r="F347" s="1" t="str" cm="1">
        <f t="array" ref="F347">_xlfn.IFS(
E347&lt;11,"Morning",
E347&lt;15,"Afternoon",
TRUE,"Evening"
)</f>
        <v>Afternoon</v>
      </c>
      <c r="G347" s="3" t="str">
        <f t="shared" si="37"/>
        <v>Fri</v>
      </c>
      <c r="H347" s="1" t="s">
        <v>560</v>
      </c>
      <c r="I347" s="1" t="s">
        <v>146</v>
      </c>
      <c r="J347" s="1" t="s">
        <v>116</v>
      </c>
      <c r="K347" s="1" t="str">
        <f>_xlfn.XLOOKUP($J347, items_clean!$A:$A, items_clean!$B:$B, "")</f>
        <v>HDR-WMO-MD</v>
      </c>
      <c r="L347" s="1" t="str">
        <f>_xlfn.XLOOKUP($J347, items_clean!$A:$A, items_clean!$C:$C, "")</f>
        <v>White Mocha</v>
      </c>
      <c r="M347" s="1" t="str">
        <f>_xlfn.XLOOKUP($J347, items_clean!$A:$A, items_clean!$D:$D, "")</f>
        <v>Hot Drinks</v>
      </c>
      <c r="N347" s="1" t="str">
        <f>_xlfn.XLOOKUP($J347, items_clean!$A:$A, items_clean!$E:$E, "")</f>
        <v>Medium</v>
      </c>
      <c r="O347" s="3">
        <v>1</v>
      </c>
      <c r="P347" s="2">
        <f>_xlfn.XLOOKUP($J347, items_clean!$A:$A, items_clean!$F:$F, "")</f>
        <v>4.5</v>
      </c>
      <c r="Q347" s="2">
        <f t="shared" si="38"/>
        <v>4.5</v>
      </c>
      <c r="R347" s="7">
        <f>_xlfn.XLOOKUP(K347, recipe_cost!$A:$A, recipe_cost!$B:$B, "")</f>
        <v>0.4098</v>
      </c>
      <c r="S347" s="10">
        <f t="shared" si="39"/>
        <v>0.4098</v>
      </c>
      <c r="T347" s="10">
        <f t="shared" si="40"/>
        <v>4.0902000000000003</v>
      </c>
      <c r="U347" s="9">
        <f t="shared" si="41"/>
        <v>0.90893333333333337</v>
      </c>
    </row>
    <row r="348" spans="1:21" x14ac:dyDescent="0.3">
      <c r="A348" s="1">
        <v>347</v>
      </c>
      <c r="B348" s="1" t="s">
        <v>561</v>
      </c>
      <c r="C348" s="4">
        <v>45338.504166666666</v>
      </c>
      <c r="D348" s="5">
        <f t="shared" si="35"/>
        <v>45338</v>
      </c>
      <c r="E348" s="3">
        <f t="shared" si="36"/>
        <v>12</v>
      </c>
      <c r="F348" s="1" t="str" cm="1">
        <f t="array" ref="F348">_xlfn.IFS(
E348&lt;11,"Morning",
E348&lt;15,"Afternoon",
TRUE,"Evening"
)</f>
        <v>Afternoon</v>
      </c>
      <c r="G348" s="3" t="str">
        <f t="shared" si="37"/>
        <v>Fri</v>
      </c>
      <c r="H348" s="1" t="s">
        <v>562</v>
      </c>
      <c r="I348" s="1" t="s">
        <v>149</v>
      </c>
      <c r="J348" s="1" t="s">
        <v>134</v>
      </c>
      <c r="K348" s="1" t="str">
        <f>_xlfn.XLOOKUP($J348, items_clean!$A:$A, items_clean!$B:$B, "")</f>
        <v>CDR-LMN-LG</v>
      </c>
      <c r="L348" s="1" t="str">
        <f>_xlfn.XLOOKUP($J348, items_clean!$A:$A, items_clean!$C:$C, "")</f>
        <v>Lemonade</v>
      </c>
      <c r="M348" s="1" t="str">
        <f>_xlfn.XLOOKUP($J348, items_clean!$A:$A, items_clean!$D:$D, "")</f>
        <v>Cold Drinks</v>
      </c>
      <c r="N348" s="1" t="str">
        <f>_xlfn.XLOOKUP($J348, items_clean!$A:$A, items_clean!$E:$E, "")</f>
        <v>Large</v>
      </c>
      <c r="O348" s="3">
        <v>1</v>
      </c>
      <c r="P348" s="2">
        <f>_xlfn.XLOOKUP($J348, items_clean!$A:$A, items_clean!$F:$F, "")</f>
        <v>3.75</v>
      </c>
      <c r="Q348" s="2">
        <f t="shared" si="38"/>
        <v>3.75</v>
      </c>
      <c r="R348" s="7">
        <f>_xlfn.XLOOKUP(K348, recipe_cost!$A:$A, recipe_cost!$B:$B, "")</f>
        <v>0.36</v>
      </c>
      <c r="S348" s="10">
        <f t="shared" si="39"/>
        <v>0.36</v>
      </c>
      <c r="T348" s="10">
        <f t="shared" si="40"/>
        <v>3.39</v>
      </c>
      <c r="U348" s="9">
        <f t="shared" si="41"/>
        <v>0.90400000000000003</v>
      </c>
    </row>
    <row r="349" spans="1:21" x14ac:dyDescent="0.3">
      <c r="A349" s="1">
        <v>348</v>
      </c>
      <c r="B349" s="1" t="s">
        <v>563</v>
      </c>
      <c r="C349" s="4">
        <v>45338.508333333331</v>
      </c>
      <c r="D349" s="5">
        <f t="shared" si="35"/>
        <v>45338</v>
      </c>
      <c r="E349" s="3">
        <f t="shared" si="36"/>
        <v>12</v>
      </c>
      <c r="F349" s="1" t="str" cm="1">
        <f t="array" ref="F349">_xlfn.IFS(
E349&lt;11,"Morning",
E349&lt;15,"Afternoon",
TRUE,"Evening"
)</f>
        <v>Afternoon</v>
      </c>
      <c r="G349" s="3" t="str">
        <f t="shared" si="37"/>
        <v>Fri</v>
      </c>
      <c r="H349" s="1" t="s">
        <v>564</v>
      </c>
      <c r="I349" s="1" t="s">
        <v>146</v>
      </c>
      <c r="J349" s="1" t="s">
        <v>105</v>
      </c>
      <c r="K349" s="1" t="str">
        <f>_xlfn.XLOOKUP($J349, items_clean!$A:$A, items_clean!$B:$B, "")</f>
        <v>HDR-FLT</v>
      </c>
      <c r="L349" s="1" t="str">
        <f>_xlfn.XLOOKUP($J349, items_clean!$A:$A, items_clean!$C:$C, "")</f>
        <v>Flat White</v>
      </c>
      <c r="M349" s="1" t="str">
        <f>_xlfn.XLOOKUP($J349, items_clean!$A:$A, items_clean!$D:$D, "")</f>
        <v>Hot Drinks</v>
      </c>
      <c r="N349" s="1" t="str">
        <f>_xlfn.XLOOKUP($J349, items_clean!$A:$A, items_clean!$E:$E, "")</f>
        <v>N/A</v>
      </c>
      <c r="O349" s="3">
        <v>1</v>
      </c>
      <c r="P349" s="2">
        <f>_xlfn.XLOOKUP($J349, items_clean!$A:$A, items_clean!$F:$F, "")</f>
        <v>3.15</v>
      </c>
      <c r="Q349" s="2">
        <f t="shared" si="38"/>
        <v>3.15</v>
      </c>
      <c r="R349" s="7">
        <f>_xlfn.XLOOKUP(K349, recipe_cost!$A:$A, recipe_cost!$B:$B, "")</f>
        <v>0.28799999999999998</v>
      </c>
      <c r="S349" s="10">
        <f t="shared" si="39"/>
        <v>0.28799999999999998</v>
      </c>
      <c r="T349" s="10">
        <f t="shared" si="40"/>
        <v>2.8620000000000001</v>
      </c>
      <c r="U349" s="9">
        <f t="shared" si="41"/>
        <v>0.90857142857142859</v>
      </c>
    </row>
    <row r="350" spans="1:21" x14ac:dyDescent="0.3">
      <c r="A350" s="1">
        <v>349</v>
      </c>
      <c r="B350" s="1" t="s">
        <v>565</v>
      </c>
      <c r="C350" s="4">
        <v>45338.513194444444</v>
      </c>
      <c r="D350" s="5">
        <f t="shared" si="35"/>
        <v>45338</v>
      </c>
      <c r="E350" s="3">
        <f t="shared" si="36"/>
        <v>12</v>
      </c>
      <c r="F350" s="1" t="str" cm="1">
        <f t="array" ref="F350">_xlfn.IFS(
E350&lt;11,"Morning",
E350&lt;15,"Afternoon",
TRUE,"Evening"
)</f>
        <v>Afternoon</v>
      </c>
      <c r="G350" s="3" t="str">
        <f t="shared" si="37"/>
        <v>Fri</v>
      </c>
      <c r="H350" s="1" t="s">
        <v>566</v>
      </c>
      <c r="I350" s="1" t="s">
        <v>149</v>
      </c>
      <c r="J350" s="1" t="s">
        <v>113</v>
      </c>
      <c r="K350" s="1" t="str">
        <f>_xlfn.XLOOKUP($J350, items_clean!$A:$A, items_clean!$B:$B, "")</f>
        <v>HDR-MOC-MD</v>
      </c>
      <c r="L350" s="1" t="str">
        <f>_xlfn.XLOOKUP($J350, items_clean!$A:$A, items_clean!$C:$C, "")</f>
        <v>Mocha</v>
      </c>
      <c r="M350" s="1" t="str">
        <f>_xlfn.XLOOKUP($J350, items_clean!$A:$A, items_clean!$D:$D, "")</f>
        <v>Hot Drinks</v>
      </c>
      <c r="N350" s="1" t="str">
        <f>_xlfn.XLOOKUP($J350, items_clean!$A:$A, items_clean!$E:$E, "")</f>
        <v>Medium</v>
      </c>
      <c r="O350" s="3">
        <v>1</v>
      </c>
      <c r="P350" s="2">
        <f>_xlfn.XLOOKUP($J350, items_clean!$A:$A, items_clean!$F:$F, "")</f>
        <v>4</v>
      </c>
      <c r="Q350" s="2">
        <f t="shared" si="38"/>
        <v>4</v>
      </c>
      <c r="R350" s="7">
        <f>_xlfn.XLOOKUP(K350, recipe_cost!$A:$A, recipe_cost!$B:$B, "")</f>
        <v>0.4098</v>
      </c>
      <c r="S350" s="10">
        <f t="shared" si="39"/>
        <v>0.4098</v>
      </c>
      <c r="T350" s="10">
        <f t="shared" si="40"/>
        <v>3.5901999999999998</v>
      </c>
      <c r="U350" s="9">
        <f t="shared" si="41"/>
        <v>0.89754999999999996</v>
      </c>
    </row>
    <row r="351" spans="1:21" x14ac:dyDescent="0.3">
      <c r="A351" s="1">
        <v>350</v>
      </c>
      <c r="B351" s="1" t="s">
        <v>565</v>
      </c>
      <c r="C351" s="4">
        <v>45338.513194444444</v>
      </c>
      <c r="D351" s="5">
        <f t="shared" si="35"/>
        <v>45338</v>
      </c>
      <c r="E351" s="3">
        <f t="shared" si="36"/>
        <v>12</v>
      </c>
      <c r="F351" s="1" t="str" cm="1">
        <f t="array" ref="F351">_xlfn.IFS(
E351&lt;11,"Morning",
E351&lt;15,"Afternoon",
TRUE,"Evening"
)</f>
        <v>Afternoon</v>
      </c>
      <c r="G351" s="3" t="str">
        <f t="shared" si="37"/>
        <v>Fri</v>
      </c>
      <c r="H351" s="1" t="s">
        <v>566</v>
      </c>
      <c r="I351" s="1" t="s">
        <v>778</v>
      </c>
      <c r="J351" s="1" t="s">
        <v>119</v>
      </c>
      <c r="K351" s="1" t="str">
        <f>_xlfn.XLOOKUP($J351, items_clean!$A:$A, items_clean!$B:$B, "")</f>
        <v>HDR-HCH-MD</v>
      </c>
      <c r="L351" s="1" t="str">
        <f>_xlfn.XLOOKUP($J351, items_clean!$A:$A, items_clean!$C:$C, "")</f>
        <v>Hot Chocolate</v>
      </c>
      <c r="M351" s="1" t="str">
        <f>_xlfn.XLOOKUP($J351, items_clean!$A:$A, items_clean!$D:$D, "")</f>
        <v>Hot Drinks</v>
      </c>
      <c r="N351" s="1" t="str">
        <f>_xlfn.XLOOKUP($J351, items_clean!$A:$A, items_clean!$E:$E, "")</f>
        <v>Medium</v>
      </c>
      <c r="O351" s="3">
        <v>1</v>
      </c>
      <c r="P351" s="2">
        <f>_xlfn.XLOOKUP($J351, items_clean!$A:$A, items_clean!$F:$F, "")</f>
        <v>4.2</v>
      </c>
      <c r="Q351" s="2">
        <f t="shared" si="38"/>
        <v>4.2</v>
      </c>
      <c r="R351" s="7">
        <f>_xlfn.XLOOKUP(K351, recipe_cost!$A:$A, recipe_cost!$B:$B, "")</f>
        <v>1.0509999999999999</v>
      </c>
      <c r="S351" s="10">
        <f t="shared" si="39"/>
        <v>1.0509999999999999</v>
      </c>
      <c r="T351" s="10">
        <f t="shared" si="40"/>
        <v>3.149</v>
      </c>
      <c r="U351" s="9">
        <f t="shared" si="41"/>
        <v>0.74976190476190474</v>
      </c>
    </row>
    <row r="352" spans="1:21" x14ac:dyDescent="0.3">
      <c r="A352" s="1">
        <v>351</v>
      </c>
      <c r="B352" s="1" t="s">
        <v>567</v>
      </c>
      <c r="C352" s="4">
        <v>45338.517361111109</v>
      </c>
      <c r="D352" s="5">
        <f t="shared" si="35"/>
        <v>45338</v>
      </c>
      <c r="E352" s="3">
        <f t="shared" si="36"/>
        <v>12</v>
      </c>
      <c r="F352" s="1" t="str" cm="1">
        <f t="array" ref="F352">_xlfn.IFS(
E352&lt;11,"Morning",
E352&lt;15,"Afternoon",
TRUE,"Evening"
)</f>
        <v>Afternoon</v>
      </c>
      <c r="G352" s="3" t="str">
        <f t="shared" si="37"/>
        <v>Fri</v>
      </c>
      <c r="H352" s="1" t="s">
        <v>568</v>
      </c>
      <c r="I352" s="1" t="s">
        <v>146</v>
      </c>
      <c r="J352" s="1" t="s">
        <v>128</v>
      </c>
      <c r="K352" s="1" t="str">
        <f>_xlfn.XLOOKUP($J352, items_clean!$A:$A, items_clean!$B:$B, "")</f>
        <v>CDR-CMO-LG</v>
      </c>
      <c r="L352" s="1" t="str">
        <f>_xlfn.XLOOKUP($J352, items_clean!$A:$A, items_clean!$C:$C, "")</f>
        <v>Cold Mocha</v>
      </c>
      <c r="M352" s="1" t="str">
        <f>_xlfn.XLOOKUP($J352, items_clean!$A:$A, items_clean!$D:$D, "")</f>
        <v>Cold Drinks</v>
      </c>
      <c r="N352" s="1" t="str">
        <f>_xlfn.XLOOKUP($J352, items_clean!$A:$A, items_clean!$E:$E, "")</f>
        <v>Large</v>
      </c>
      <c r="O352" s="3">
        <v>1</v>
      </c>
      <c r="P352" s="2">
        <f>_xlfn.XLOOKUP($J352, items_clean!$A:$A, items_clean!$F:$F, "")</f>
        <v>4.5999999999999996</v>
      </c>
      <c r="Q352" s="2">
        <f t="shared" si="38"/>
        <v>4.5999999999999996</v>
      </c>
      <c r="R352" s="7">
        <f>_xlfn.XLOOKUP(K352, recipe_cost!$A:$A, recipe_cost!$B:$B, "")</f>
        <v>0.56669999999999998</v>
      </c>
      <c r="S352" s="10">
        <f t="shared" si="39"/>
        <v>0.56669999999999998</v>
      </c>
      <c r="T352" s="10">
        <f t="shared" si="40"/>
        <v>4.0332999999999997</v>
      </c>
      <c r="U352" s="9">
        <f t="shared" si="41"/>
        <v>0.87680434782608696</v>
      </c>
    </row>
    <row r="353" spans="1:21" x14ac:dyDescent="0.3">
      <c r="A353" s="1">
        <v>352</v>
      </c>
      <c r="B353" s="1" t="s">
        <v>569</v>
      </c>
      <c r="C353" s="4">
        <v>45338.522222222222</v>
      </c>
      <c r="D353" s="5">
        <f t="shared" si="35"/>
        <v>45338</v>
      </c>
      <c r="E353" s="3">
        <f t="shared" si="36"/>
        <v>12</v>
      </c>
      <c r="F353" s="1" t="str" cm="1">
        <f t="array" ref="F353">_xlfn.IFS(
E353&lt;11,"Morning",
E353&lt;15,"Afternoon",
TRUE,"Evening"
)</f>
        <v>Afternoon</v>
      </c>
      <c r="G353" s="3" t="str">
        <f t="shared" si="37"/>
        <v>Fri</v>
      </c>
      <c r="H353" s="1" t="s">
        <v>457</v>
      </c>
      <c r="I353" s="1" t="s">
        <v>149</v>
      </c>
      <c r="J353" s="1" t="s">
        <v>96</v>
      </c>
      <c r="K353" s="1" t="str">
        <f>_xlfn.XLOOKUP($J353, items_clean!$A:$A, items_clean!$B:$B, "")</f>
        <v>HDR-CAP-MD</v>
      </c>
      <c r="L353" s="1" t="str">
        <f>_xlfn.XLOOKUP($J353, items_clean!$A:$A, items_clean!$C:$C, "")</f>
        <v>Cappuccino</v>
      </c>
      <c r="M353" s="1" t="str">
        <f>_xlfn.XLOOKUP($J353, items_clean!$A:$A, items_clean!$D:$D, "")</f>
        <v>Hot Drinks</v>
      </c>
      <c r="N353" s="1" t="str">
        <f>_xlfn.XLOOKUP($J353, items_clean!$A:$A, items_clean!$E:$E, "")</f>
        <v>Medium</v>
      </c>
      <c r="O353" s="3">
        <v>1</v>
      </c>
      <c r="P353" s="2">
        <f>_xlfn.XLOOKUP($J353, items_clean!$A:$A, items_clean!$F:$F, "")</f>
        <v>3.45</v>
      </c>
      <c r="Q353" s="2">
        <f t="shared" si="38"/>
        <v>3.45</v>
      </c>
      <c r="R353" s="7">
        <f>_xlfn.XLOOKUP(K353, recipe_cost!$A:$A, recipe_cost!$B:$B, "")</f>
        <v>0.252</v>
      </c>
      <c r="S353" s="10">
        <f t="shared" si="39"/>
        <v>0.252</v>
      </c>
      <c r="T353" s="10">
        <f t="shared" si="40"/>
        <v>3.1980000000000004</v>
      </c>
      <c r="U353" s="9">
        <f t="shared" si="41"/>
        <v>0.92695652173913046</v>
      </c>
    </row>
    <row r="354" spans="1:21" x14ac:dyDescent="0.3">
      <c r="A354" s="1">
        <v>353</v>
      </c>
      <c r="B354" s="1" t="s">
        <v>572</v>
      </c>
      <c r="C354" s="4">
        <v>45338.53125</v>
      </c>
      <c r="D354" s="5">
        <f t="shared" si="35"/>
        <v>45338</v>
      </c>
      <c r="E354" s="3">
        <f t="shared" si="36"/>
        <v>12</v>
      </c>
      <c r="F354" s="1" t="str" cm="1">
        <f t="array" ref="F354">_xlfn.IFS(
E354&lt;11,"Morning",
E354&lt;15,"Afternoon",
TRUE,"Evening"
)</f>
        <v>Afternoon</v>
      </c>
      <c r="G354" s="3" t="str">
        <f t="shared" si="37"/>
        <v>Fri</v>
      </c>
      <c r="H354" s="1" t="s">
        <v>419</v>
      </c>
      <c r="I354" s="1" t="s">
        <v>149</v>
      </c>
      <c r="J354" s="1" t="s">
        <v>104</v>
      </c>
      <c r="K354" s="1" t="str">
        <f>_xlfn.XLOOKUP($J354, items_clean!$A:$A, items_clean!$B:$B, "")</f>
        <v>HDR-LAT-LG</v>
      </c>
      <c r="L354" s="1" t="str">
        <f>_xlfn.XLOOKUP($J354, items_clean!$A:$A, items_clean!$C:$C, "")</f>
        <v>Latte</v>
      </c>
      <c r="M354" s="1" t="str">
        <f>_xlfn.XLOOKUP($J354, items_clean!$A:$A, items_clean!$D:$D, "")</f>
        <v>Hot Drinks</v>
      </c>
      <c r="N354" s="1" t="str">
        <f>_xlfn.XLOOKUP($J354, items_clean!$A:$A, items_clean!$E:$E, "")</f>
        <v>Large</v>
      </c>
      <c r="O354" s="3">
        <v>1</v>
      </c>
      <c r="P354" s="2">
        <f>_xlfn.XLOOKUP($J354, items_clean!$A:$A, items_clean!$F:$F, "")</f>
        <v>3.75</v>
      </c>
      <c r="Q354" s="2">
        <f t="shared" si="38"/>
        <v>3.75</v>
      </c>
      <c r="R354" s="7">
        <f>_xlfn.XLOOKUP(K354, recipe_cost!$A:$A, recipe_cost!$B:$B, "")</f>
        <v>0.33599999999999997</v>
      </c>
      <c r="S354" s="10">
        <f t="shared" si="39"/>
        <v>0.33599999999999997</v>
      </c>
      <c r="T354" s="10">
        <f t="shared" si="40"/>
        <v>3.4140000000000001</v>
      </c>
      <c r="U354" s="9">
        <f t="shared" si="41"/>
        <v>0.91039999999999999</v>
      </c>
    </row>
    <row r="355" spans="1:21" x14ac:dyDescent="0.3">
      <c r="A355" s="1">
        <v>354</v>
      </c>
      <c r="B355" s="1" t="s">
        <v>573</v>
      </c>
      <c r="C355" s="4">
        <v>45338.535416666666</v>
      </c>
      <c r="D355" s="5">
        <f t="shared" si="35"/>
        <v>45338</v>
      </c>
      <c r="E355" s="3">
        <f t="shared" si="36"/>
        <v>12</v>
      </c>
      <c r="F355" s="1" t="str" cm="1">
        <f t="array" ref="F355">_xlfn.IFS(
E355&lt;11,"Morning",
E355&lt;15,"Afternoon",
TRUE,"Evening"
)</f>
        <v>Afternoon</v>
      </c>
      <c r="G355" s="3" t="str">
        <f t="shared" si="37"/>
        <v>Fri</v>
      </c>
      <c r="H355" s="1" t="s">
        <v>574</v>
      </c>
      <c r="I355" s="1" t="s">
        <v>146</v>
      </c>
      <c r="J355" s="1" t="s">
        <v>115</v>
      </c>
      <c r="K355" s="1" t="str">
        <f>_xlfn.XLOOKUP($J355, items_clean!$A:$A, items_clean!$B:$B, "")</f>
        <v>HDR-MOC-LG</v>
      </c>
      <c r="L355" s="1" t="str">
        <f>_xlfn.XLOOKUP($J355, items_clean!$A:$A, items_clean!$C:$C, "")</f>
        <v>Mocha</v>
      </c>
      <c r="M355" s="1" t="str">
        <f>_xlfn.XLOOKUP($J355, items_clean!$A:$A, items_clean!$D:$D, "")</f>
        <v>Hot Drinks</v>
      </c>
      <c r="N355" s="1" t="str">
        <f>_xlfn.XLOOKUP($J355, items_clean!$A:$A, items_clean!$E:$E, "")</f>
        <v>Large</v>
      </c>
      <c r="O355" s="3">
        <v>1</v>
      </c>
      <c r="P355" s="2">
        <f>_xlfn.XLOOKUP($J355, items_clean!$A:$A, items_clean!$F:$F, "")</f>
        <v>4.5999999999999996</v>
      </c>
      <c r="Q355" s="2">
        <f t="shared" si="38"/>
        <v>4.5999999999999996</v>
      </c>
      <c r="R355" s="7">
        <f>_xlfn.XLOOKUP(K355, recipe_cost!$A:$A, recipe_cost!$B:$B, "")</f>
        <v>0.56669999999999998</v>
      </c>
      <c r="S355" s="10">
        <f t="shared" si="39"/>
        <v>0.56669999999999998</v>
      </c>
      <c r="T355" s="10">
        <f t="shared" si="40"/>
        <v>4.0332999999999997</v>
      </c>
      <c r="U355" s="9">
        <f t="shared" si="41"/>
        <v>0.87680434782608696</v>
      </c>
    </row>
    <row r="356" spans="1:21" x14ac:dyDescent="0.3">
      <c r="A356" s="1">
        <v>355</v>
      </c>
      <c r="B356" s="1" t="s">
        <v>575</v>
      </c>
      <c r="C356" s="4">
        <v>45338.540277777778</v>
      </c>
      <c r="D356" s="5">
        <f t="shared" si="35"/>
        <v>45338</v>
      </c>
      <c r="E356" s="3">
        <f t="shared" si="36"/>
        <v>12</v>
      </c>
      <c r="F356" s="1" t="str" cm="1">
        <f t="array" ref="F356">_xlfn.IFS(
E356&lt;11,"Morning",
E356&lt;15,"Afternoon",
TRUE,"Evening"
)</f>
        <v>Afternoon</v>
      </c>
      <c r="G356" s="3" t="str">
        <f t="shared" si="37"/>
        <v>Fri</v>
      </c>
      <c r="H356" s="1" t="s">
        <v>163</v>
      </c>
      <c r="I356" s="1" t="s">
        <v>149</v>
      </c>
      <c r="J356" s="1" t="s">
        <v>126</v>
      </c>
      <c r="K356" s="1" t="str">
        <f>_xlfn.XLOOKUP($J356, items_clean!$A:$A, items_clean!$B:$B, "")</f>
        <v>CDR-CMO-MD</v>
      </c>
      <c r="L356" s="1" t="str">
        <f>_xlfn.XLOOKUP($J356, items_clean!$A:$A, items_clean!$C:$C, "")</f>
        <v>Cold Mocha</v>
      </c>
      <c r="M356" s="1" t="str">
        <f>_xlfn.XLOOKUP($J356, items_clean!$A:$A, items_clean!$D:$D, "")</f>
        <v>Cold Drinks</v>
      </c>
      <c r="N356" s="1" t="str">
        <f>_xlfn.XLOOKUP($J356, items_clean!$A:$A, items_clean!$E:$E, "")</f>
        <v>Medium</v>
      </c>
      <c r="O356" s="3">
        <v>1</v>
      </c>
      <c r="P356" s="2">
        <f>_xlfn.XLOOKUP($J356, items_clean!$A:$A, items_clean!$F:$F, "")</f>
        <v>4</v>
      </c>
      <c r="Q356" s="2">
        <f t="shared" si="38"/>
        <v>4</v>
      </c>
      <c r="R356" s="7">
        <f>_xlfn.XLOOKUP(K356, recipe_cost!$A:$A, recipe_cost!$B:$B, "")</f>
        <v>0.4098</v>
      </c>
      <c r="S356" s="10">
        <f t="shared" si="39"/>
        <v>0.4098</v>
      </c>
      <c r="T356" s="10">
        <f t="shared" si="40"/>
        <v>3.5901999999999998</v>
      </c>
      <c r="U356" s="9">
        <f t="shared" si="41"/>
        <v>0.89754999999999996</v>
      </c>
    </row>
    <row r="357" spans="1:21" x14ac:dyDescent="0.3">
      <c r="A357" s="1">
        <v>356</v>
      </c>
      <c r="B357" s="1" t="s">
        <v>575</v>
      </c>
      <c r="C357" s="4">
        <v>45338.540277777778</v>
      </c>
      <c r="D357" s="5">
        <f t="shared" si="35"/>
        <v>45338</v>
      </c>
      <c r="E357" s="3">
        <f t="shared" si="36"/>
        <v>12</v>
      </c>
      <c r="F357" s="1" t="str" cm="1">
        <f t="array" ref="F357">_xlfn.IFS(
E357&lt;11,"Morning",
E357&lt;15,"Afternoon",
TRUE,"Evening"
)</f>
        <v>Afternoon</v>
      </c>
      <c r="G357" s="3" t="str">
        <f t="shared" si="37"/>
        <v>Fri</v>
      </c>
      <c r="H357" s="1" t="s">
        <v>163</v>
      </c>
      <c r="I357" s="1" t="s">
        <v>778</v>
      </c>
      <c r="J357" s="1" t="s">
        <v>135</v>
      </c>
      <c r="K357" s="1" t="str">
        <f>_xlfn.XLOOKUP($J357, items_clean!$A:$A, items_clean!$B:$B, "")</f>
        <v>SNK-SHC</v>
      </c>
      <c r="L357" s="1" t="str">
        <f>_xlfn.XLOOKUP($J357, items_clean!$A:$A, items_clean!$C:$C, "")</f>
        <v>Sandwich Ham&amp;Cheese</v>
      </c>
      <c r="M357" s="1" t="str">
        <f>_xlfn.XLOOKUP($J357, items_clean!$A:$A, items_clean!$D:$D, "")</f>
        <v>Snacks</v>
      </c>
      <c r="N357" s="1" t="str">
        <f>_xlfn.XLOOKUP($J357, items_clean!$A:$A, items_clean!$E:$E, "")</f>
        <v>N/A</v>
      </c>
      <c r="O357" s="3">
        <v>1</v>
      </c>
      <c r="P357" s="2">
        <f>_xlfn.XLOOKUP($J357, items_clean!$A:$A, items_clean!$F:$F, "")</f>
        <v>5.6</v>
      </c>
      <c r="Q357" s="2">
        <f t="shared" si="38"/>
        <v>5.6</v>
      </c>
      <c r="R357" s="7">
        <f>_xlfn.XLOOKUP(K357, recipe_cost!$A:$A, recipe_cost!$B:$B, "")</f>
        <v>2.0105</v>
      </c>
      <c r="S357" s="10">
        <f t="shared" si="39"/>
        <v>2.0105</v>
      </c>
      <c r="T357" s="10">
        <f t="shared" si="40"/>
        <v>3.5894999999999997</v>
      </c>
      <c r="U357" s="9">
        <f t="shared" si="41"/>
        <v>0.64098214285714283</v>
      </c>
    </row>
    <row r="358" spans="1:21" x14ac:dyDescent="0.3">
      <c r="A358" s="1">
        <v>357</v>
      </c>
      <c r="B358" s="1" t="s">
        <v>576</v>
      </c>
      <c r="C358" s="4">
        <v>45338.544444444444</v>
      </c>
      <c r="D358" s="5">
        <f t="shared" si="35"/>
        <v>45338</v>
      </c>
      <c r="E358" s="3">
        <f t="shared" si="36"/>
        <v>13</v>
      </c>
      <c r="F358" s="1" t="str" cm="1">
        <f t="array" ref="F358">_xlfn.IFS(
E358&lt;11,"Morning",
E358&lt;15,"Afternoon",
TRUE,"Evening"
)</f>
        <v>Afternoon</v>
      </c>
      <c r="G358" s="3" t="str">
        <f t="shared" si="37"/>
        <v>Fri</v>
      </c>
      <c r="H358" s="1" t="s">
        <v>577</v>
      </c>
      <c r="I358" s="1" t="s">
        <v>146</v>
      </c>
      <c r="J358" s="1" t="s">
        <v>108</v>
      </c>
      <c r="K358" s="1" t="str">
        <f>_xlfn.XLOOKUP($J358, items_clean!$A:$A, items_clean!$B:$B, "")</f>
        <v>HDR-CRM-MD</v>
      </c>
      <c r="L358" s="1" t="str">
        <f>_xlfn.XLOOKUP($J358, items_clean!$A:$A, items_clean!$C:$C, "")</f>
        <v>Caramel Macchiato</v>
      </c>
      <c r="M358" s="1" t="str">
        <f>_xlfn.XLOOKUP($J358, items_clean!$A:$A, items_clean!$D:$D, "")</f>
        <v>Hot Drinks</v>
      </c>
      <c r="N358" s="1" t="str">
        <f>_xlfn.XLOOKUP($J358, items_clean!$A:$A, items_clean!$E:$E, "")</f>
        <v>Medium</v>
      </c>
      <c r="O358" s="3">
        <v>1</v>
      </c>
      <c r="P358" s="2">
        <f>_xlfn.XLOOKUP($J358, items_clean!$A:$A, items_clean!$F:$F, "")</f>
        <v>4.2</v>
      </c>
      <c r="Q358" s="2">
        <f t="shared" si="38"/>
        <v>4.2</v>
      </c>
      <c r="R358" s="7">
        <f>_xlfn.XLOOKUP(K358, recipe_cost!$A:$A, recipe_cost!$B:$B, "")</f>
        <v>0.4098</v>
      </c>
      <c r="S358" s="10">
        <f t="shared" si="39"/>
        <v>0.4098</v>
      </c>
      <c r="T358" s="10">
        <f t="shared" si="40"/>
        <v>3.7902</v>
      </c>
      <c r="U358" s="9">
        <f t="shared" si="41"/>
        <v>0.90242857142857136</v>
      </c>
    </row>
    <row r="359" spans="1:21" x14ac:dyDescent="0.3">
      <c r="A359" s="1">
        <v>358</v>
      </c>
      <c r="B359" s="1" t="s">
        <v>578</v>
      </c>
      <c r="C359" s="4">
        <v>45338.549305555556</v>
      </c>
      <c r="D359" s="5">
        <f t="shared" si="35"/>
        <v>45338</v>
      </c>
      <c r="E359" s="3">
        <f t="shared" si="36"/>
        <v>13</v>
      </c>
      <c r="F359" s="1" t="str" cm="1">
        <f t="array" ref="F359">_xlfn.IFS(
E359&lt;11,"Morning",
E359&lt;15,"Afternoon",
TRUE,"Evening"
)</f>
        <v>Afternoon</v>
      </c>
      <c r="G359" s="3" t="str">
        <f t="shared" si="37"/>
        <v>Fri</v>
      </c>
      <c r="H359" s="1" t="s">
        <v>510</v>
      </c>
      <c r="I359" s="1" t="s">
        <v>149</v>
      </c>
      <c r="J359" s="1" t="s">
        <v>121</v>
      </c>
      <c r="K359" s="1" t="str">
        <f>_xlfn.XLOOKUP($J359, items_clean!$A:$A, items_clean!$B:$B, "")</f>
        <v>HDR-HCH-LG</v>
      </c>
      <c r="L359" s="1" t="str">
        <f>_xlfn.XLOOKUP($J359, items_clean!$A:$A, items_clean!$C:$C, "")</f>
        <v>Hot Chocolate</v>
      </c>
      <c r="M359" s="1" t="str">
        <f>_xlfn.XLOOKUP($J359, items_clean!$A:$A, items_clean!$D:$D, "")</f>
        <v>Hot Drinks</v>
      </c>
      <c r="N359" s="1" t="str">
        <f>_xlfn.XLOOKUP($J359, items_clean!$A:$A, items_clean!$E:$E, "")</f>
        <v>Large</v>
      </c>
      <c r="O359" s="3">
        <v>1</v>
      </c>
      <c r="P359" s="2">
        <f>_xlfn.XLOOKUP($J359, items_clean!$A:$A, items_clean!$F:$F, "")</f>
        <v>4.5999999999999996</v>
      </c>
      <c r="Q359" s="2">
        <f t="shared" si="38"/>
        <v>4.5999999999999996</v>
      </c>
      <c r="R359" s="7">
        <f>_xlfn.XLOOKUP(K359, recipe_cost!$A:$A, recipe_cost!$B:$B, "")</f>
        <v>1.4809999999999999</v>
      </c>
      <c r="S359" s="10">
        <f t="shared" si="39"/>
        <v>1.4809999999999999</v>
      </c>
      <c r="T359" s="10">
        <f t="shared" si="40"/>
        <v>3.1189999999999998</v>
      </c>
      <c r="U359" s="9">
        <f t="shared" si="41"/>
        <v>0.67804347826086953</v>
      </c>
    </row>
    <row r="360" spans="1:21" x14ac:dyDescent="0.3">
      <c r="A360" s="1">
        <v>359</v>
      </c>
      <c r="B360" s="1" t="s">
        <v>581</v>
      </c>
      <c r="C360" s="4">
        <v>45338.558333333334</v>
      </c>
      <c r="D360" s="5">
        <f t="shared" si="35"/>
        <v>45338</v>
      </c>
      <c r="E360" s="3">
        <f t="shared" si="36"/>
        <v>13</v>
      </c>
      <c r="F360" s="1" t="str" cm="1">
        <f t="array" ref="F360">_xlfn.IFS(
E360&lt;11,"Morning",
E360&lt;15,"Afternoon",
TRUE,"Evening"
)</f>
        <v>Afternoon</v>
      </c>
      <c r="G360" s="3" t="str">
        <f t="shared" si="37"/>
        <v>Fri</v>
      </c>
      <c r="H360" s="1" t="s">
        <v>539</v>
      </c>
      <c r="I360" s="1" t="s">
        <v>149</v>
      </c>
      <c r="J360" s="1" t="s">
        <v>111</v>
      </c>
      <c r="K360" s="1" t="str">
        <f>_xlfn.XLOOKUP($J360, items_clean!$A:$A, items_clean!$B:$B, "")</f>
        <v>HDR-ESP</v>
      </c>
      <c r="L360" s="1" t="str">
        <f>_xlfn.XLOOKUP($J360, items_clean!$A:$A, items_clean!$C:$C, "")</f>
        <v>Espresso</v>
      </c>
      <c r="M360" s="1" t="str">
        <f>_xlfn.XLOOKUP($J360, items_clean!$A:$A, items_clean!$D:$D, "")</f>
        <v>Hot Drinks</v>
      </c>
      <c r="N360" s="1" t="str">
        <f>_xlfn.XLOOKUP($J360, items_clean!$A:$A, items_clean!$E:$E, "")</f>
        <v>N/A</v>
      </c>
      <c r="O360" s="3">
        <v>1</v>
      </c>
      <c r="P360" s="2">
        <f>_xlfn.XLOOKUP($J360, items_clean!$A:$A, items_clean!$F:$F, "")</f>
        <v>2.15</v>
      </c>
      <c r="Q360" s="2">
        <f t="shared" si="38"/>
        <v>2.15</v>
      </c>
      <c r="R360" s="7">
        <f>_xlfn.XLOOKUP(K360, recipe_cost!$A:$A, recipe_cost!$B:$B, "")</f>
        <v>9.6000000000000002E-2</v>
      </c>
      <c r="S360" s="10">
        <f t="shared" si="39"/>
        <v>9.6000000000000002E-2</v>
      </c>
      <c r="T360" s="10">
        <f t="shared" si="40"/>
        <v>2.0539999999999998</v>
      </c>
      <c r="U360" s="9">
        <f t="shared" si="41"/>
        <v>0.9553488372093023</v>
      </c>
    </row>
    <row r="361" spans="1:21" x14ac:dyDescent="0.3">
      <c r="A361" s="1">
        <v>360</v>
      </c>
      <c r="B361" s="1" t="s">
        <v>582</v>
      </c>
      <c r="C361" s="4">
        <v>45338.5625</v>
      </c>
      <c r="D361" s="5">
        <f t="shared" si="35"/>
        <v>45338</v>
      </c>
      <c r="E361" s="3">
        <f t="shared" si="36"/>
        <v>13</v>
      </c>
      <c r="F361" s="1" t="str" cm="1">
        <f t="array" ref="F361">_xlfn.IFS(
E361&lt;11,"Morning",
E361&lt;15,"Afternoon",
TRUE,"Evening"
)</f>
        <v>Afternoon</v>
      </c>
      <c r="G361" s="3" t="str">
        <f t="shared" si="37"/>
        <v>Fri</v>
      </c>
      <c r="H361" s="1" t="s">
        <v>583</v>
      </c>
      <c r="I361" s="1" t="s">
        <v>146</v>
      </c>
      <c r="J361" s="1" t="s">
        <v>131</v>
      </c>
      <c r="K361" s="1" t="str">
        <f>_xlfn.XLOOKUP($J361, items_clean!$A:$A, items_clean!$B:$B, "")</f>
        <v>CDR-ICT-LG</v>
      </c>
      <c r="L361" s="1" t="str">
        <f>_xlfn.XLOOKUP($J361, items_clean!$A:$A, items_clean!$C:$C, "")</f>
        <v>Iced Tea</v>
      </c>
      <c r="M361" s="1" t="str">
        <f>_xlfn.XLOOKUP($J361, items_clean!$A:$A, items_clean!$D:$D, "")</f>
        <v>Cold Drinks</v>
      </c>
      <c r="N361" s="1" t="str">
        <f>_xlfn.XLOOKUP($J361, items_clean!$A:$A, items_clean!$E:$E, "")</f>
        <v>Large</v>
      </c>
      <c r="O361" s="3">
        <v>1</v>
      </c>
      <c r="P361" s="2">
        <f>_xlfn.XLOOKUP($J361, items_clean!$A:$A, items_clean!$F:$F, "")</f>
        <v>3.55</v>
      </c>
      <c r="Q361" s="2">
        <f t="shared" si="38"/>
        <v>3.55</v>
      </c>
      <c r="R361" s="7">
        <f>_xlfn.XLOOKUP(K361, recipe_cost!$A:$A, recipe_cost!$B:$B, "")</f>
        <v>0.26984999999999998</v>
      </c>
      <c r="S361" s="10">
        <f t="shared" si="39"/>
        <v>0.26984999999999998</v>
      </c>
      <c r="T361" s="10">
        <f t="shared" si="40"/>
        <v>3.2801499999999999</v>
      </c>
      <c r="U361" s="9">
        <f t="shared" si="41"/>
        <v>0.92398591549295772</v>
      </c>
    </row>
    <row r="362" spans="1:21" x14ac:dyDescent="0.3">
      <c r="A362" s="1">
        <v>361</v>
      </c>
      <c r="B362" s="1" t="s">
        <v>584</v>
      </c>
      <c r="C362" s="4">
        <v>45338.567361111112</v>
      </c>
      <c r="D362" s="5">
        <f t="shared" si="35"/>
        <v>45338</v>
      </c>
      <c r="E362" s="3">
        <f t="shared" si="36"/>
        <v>13</v>
      </c>
      <c r="F362" s="1" t="str" cm="1">
        <f t="array" ref="F362">_xlfn.IFS(
E362&lt;11,"Morning",
E362&lt;15,"Afternoon",
TRUE,"Evening"
)</f>
        <v>Afternoon</v>
      </c>
      <c r="G362" s="3" t="str">
        <f t="shared" si="37"/>
        <v>Fri</v>
      </c>
      <c r="H362" s="1" t="s">
        <v>434</v>
      </c>
      <c r="I362" s="1" t="s">
        <v>149</v>
      </c>
      <c r="J362" s="1" t="s">
        <v>118</v>
      </c>
      <c r="K362" s="1" t="str">
        <f>_xlfn.XLOOKUP($J362, items_clean!$A:$A, items_clean!$B:$B, "")</f>
        <v>HDR-WMO-LG</v>
      </c>
      <c r="L362" s="1" t="str">
        <f>_xlfn.XLOOKUP($J362, items_clean!$A:$A, items_clean!$C:$C, "")</f>
        <v>White Mocha</v>
      </c>
      <c r="M362" s="1" t="str">
        <f>_xlfn.XLOOKUP($J362, items_clean!$A:$A, items_clean!$D:$D, "")</f>
        <v>Hot Drinks</v>
      </c>
      <c r="N362" s="1" t="str">
        <f>_xlfn.XLOOKUP($J362, items_clean!$A:$A, items_clean!$E:$E, "")</f>
        <v>Large</v>
      </c>
      <c r="O362" s="3">
        <v>1</v>
      </c>
      <c r="P362" s="2">
        <f>_xlfn.XLOOKUP($J362, items_clean!$A:$A, items_clean!$F:$F, "")</f>
        <v>4.7</v>
      </c>
      <c r="Q362" s="2">
        <f t="shared" si="38"/>
        <v>4.7</v>
      </c>
      <c r="R362" s="7">
        <f>_xlfn.XLOOKUP(K362, recipe_cost!$A:$A, recipe_cost!$B:$B, "")</f>
        <v>0.56669999999999998</v>
      </c>
      <c r="S362" s="10">
        <f t="shared" si="39"/>
        <v>0.56669999999999998</v>
      </c>
      <c r="T362" s="10">
        <f t="shared" si="40"/>
        <v>4.1333000000000002</v>
      </c>
      <c r="U362" s="9">
        <f t="shared" si="41"/>
        <v>0.87942553191489359</v>
      </c>
    </row>
    <row r="363" spans="1:21" x14ac:dyDescent="0.3">
      <c r="A363" s="1">
        <v>362</v>
      </c>
      <c r="B363" s="1" t="s">
        <v>585</v>
      </c>
      <c r="C363" s="4">
        <v>45338.571527777778</v>
      </c>
      <c r="D363" s="5">
        <f t="shared" si="35"/>
        <v>45338</v>
      </c>
      <c r="E363" s="3">
        <f t="shared" si="36"/>
        <v>13</v>
      </c>
      <c r="F363" s="1" t="str" cm="1">
        <f t="array" ref="F363">_xlfn.IFS(
E363&lt;11,"Morning",
E363&lt;15,"Afternoon",
TRUE,"Evening"
)</f>
        <v>Afternoon</v>
      </c>
      <c r="G363" s="3" t="str">
        <f t="shared" si="37"/>
        <v>Fri</v>
      </c>
      <c r="H363" s="1" t="s">
        <v>586</v>
      </c>
      <c r="I363" s="1" t="s">
        <v>146</v>
      </c>
      <c r="J363" s="1" t="s">
        <v>129</v>
      </c>
      <c r="K363" s="1" t="str">
        <f>_xlfn.XLOOKUP($J363, items_clean!$A:$A, items_clean!$B:$B, "")</f>
        <v>CDR-ICT-MD</v>
      </c>
      <c r="L363" s="1" t="str">
        <f>_xlfn.XLOOKUP($J363, items_clean!$A:$A, items_clean!$C:$C, "")</f>
        <v>Iced Tea</v>
      </c>
      <c r="M363" s="1" t="str">
        <f>_xlfn.XLOOKUP($J363, items_clean!$A:$A, items_clean!$D:$D, "")</f>
        <v>Cold Drinks</v>
      </c>
      <c r="N363" s="1" t="str">
        <f>_xlfn.XLOOKUP($J363, items_clean!$A:$A, items_clean!$E:$E, "")</f>
        <v>Medium</v>
      </c>
      <c r="O363" s="3">
        <v>1</v>
      </c>
      <c r="P363" s="2">
        <f>_xlfn.XLOOKUP($J363, items_clean!$A:$A, items_clean!$F:$F, "")</f>
        <v>3.25</v>
      </c>
      <c r="Q363" s="2">
        <f t="shared" si="38"/>
        <v>3.25</v>
      </c>
      <c r="R363" s="7">
        <f>_xlfn.XLOOKUP(K363, recipe_cost!$A:$A, recipe_cost!$B:$B, "")</f>
        <v>0.19</v>
      </c>
      <c r="S363" s="10">
        <f t="shared" si="39"/>
        <v>0.19</v>
      </c>
      <c r="T363" s="10">
        <f t="shared" si="40"/>
        <v>3.06</v>
      </c>
      <c r="U363" s="9">
        <f t="shared" si="41"/>
        <v>0.94153846153846155</v>
      </c>
    </row>
    <row r="364" spans="1:21" x14ac:dyDescent="0.3">
      <c r="A364" s="1">
        <v>363</v>
      </c>
      <c r="B364" s="1" t="s">
        <v>587</v>
      </c>
      <c r="C364" s="4">
        <v>45338.576388888891</v>
      </c>
      <c r="D364" s="5">
        <f t="shared" si="35"/>
        <v>45338</v>
      </c>
      <c r="E364" s="3">
        <f t="shared" si="36"/>
        <v>13</v>
      </c>
      <c r="F364" s="1" t="str" cm="1">
        <f t="array" ref="F364">_xlfn.IFS(
E364&lt;11,"Morning",
E364&lt;15,"Afternoon",
TRUE,"Evening"
)</f>
        <v>Afternoon</v>
      </c>
      <c r="G364" s="3" t="str">
        <f t="shared" si="37"/>
        <v>Fri</v>
      </c>
      <c r="H364" s="1" t="s">
        <v>474</v>
      </c>
      <c r="I364" s="1" t="s">
        <v>149</v>
      </c>
      <c r="J364" s="1" t="s">
        <v>102</v>
      </c>
      <c r="K364" s="1" t="str">
        <f>_xlfn.XLOOKUP($J364, items_clean!$A:$A, items_clean!$B:$B, "")</f>
        <v>HDR-LAT-MD</v>
      </c>
      <c r="L364" s="1" t="str">
        <f>_xlfn.XLOOKUP($J364, items_clean!$A:$A, items_clean!$C:$C, "")</f>
        <v>Latte</v>
      </c>
      <c r="M364" s="1" t="str">
        <f>_xlfn.XLOOKUP($J364, items_clean!$A:$A, items_clean!$D:$D, "")</f>
        <v>Hot Drinks</v>
      </c>
      <c r="N364" s="1" t="str">
        <f>_xlfn.XLOOKUP($J364, items_clean!$A:$A, items_clean!$E:$E, "")</f>
        <v>Medium</v>
      </c>
      <c r="O364" s="3">
        <v>1</v>
      </c>
      <c r="P364" s="2">
        <f>_xlfn.XLOOKUP($J364, items_clean!$A:$A, items_clean!$F:$F, "")</f>
        <v>3.45</v>
      </c>
      <c r="Q364" s="2">
        <f t="shared" si="38"/>
        <v>3.45</v>
      </c>
      <c r="R364" s="7">
        <f>_xlfn.XLOOKUP(K364, recipe_cost!$A:$A, recipe_cost!$B:$B, "")</f>
        <v>0.252</v>
      </c>
      <c r="S364" s="10">
        <f t="shared" si="39"/>
        <v>0.252</v>
      </c>
      <c r="T364" s="10">
        <f t="shared" si="40"/>
        <v>3.1980000000000004</v>
      </c>
      <c r="U364" s="9">
        <f t="shared" si="41"/>
        <v>0.92695652173913046</v>
      </c>
    </row>
    <row r="365" spans="1:21" x14ac:dyDescent="0.3">
      <c r="A365" s="1">
        <v>364</v>
      </c>
      <c r="B365" s="1" t="s">
        <v>588</v>
      </c>
      <c r="C365" s="4">
        <v>45338.580555555556</v>
      </c>
      <c r="D365" s="5">
        <f t="shared" si="35"/>
        <v>45338</v>
      </c>
      <c r="E365" s="3">
        <f t="shared" si="36"/>
        <v>13</v>
      </c>
      <c r="F365" s="1" t="str" cm="1">
        <f t="array" ref="F365">_xlfn.IFS(
E365&lt;11,"Morning",
E365&lt;15,"Afternoon",
TRUE,"Evening"
)</f>
        <v>Afternoon</v>
      </c>
      <c r="G365" s="3" t="str">
        <f t="shared" si="37"/>
        <v>Fri</v>
      </c>
      <c r="H365" s="1" t="s">
        <v>546</v>
      </c>
      <c r="I365" s="1" t="s">
        <v>146</v>
      </c>
      <c r="J365" s="1" t="s">
        <v>110</v>
      </c>
      <c r="K365" s="1" t="str">
        <f>_xlfn.XLOOKUP($J365, items_clean!$A:$A, items_clean!$B:$B, "")</f>
        <v>HDR-CRM-LG</v>
      </c>
      <c r="L365" s="1" t="str">
        <f>_xlfn.XLOOKUP($J365, items_clean!$A:$A, items_clean!$C:$C, "")</f>
        <v>Caramel Macchiato</v>
      </c>
      <c r="M365" s="1" t="str">
        <f>_xlfn.XLOOKUP($J365, items_clean!$A:$A, items_clean!$D:$D, "")</f>
        <v>Hot Drinks</v>
      </c>
      <c r="N365" s="1" t="str">
        <f>_xlfn.XLOOKUP($J365, items_clean!$A:$A, items_clean!$E:$E, "")</f>
        <v>Large</v>
      </c>
      <c r="O365" s="3">
        <v>1</v>
      </c>
      <c r="P365" s="2">
        <f>_xlfn.XLOOKUP($J365, items_clean!$A:$A, items_clean!$F:$F, "")</f>
        <v>4.5999999999999996</v>
      </c>
      <c r="Q365" s="2">
        <f t="shared" si="38"/>
        <v>4.5999999999999996</v>
      </c>
      <c r="R365" s="7">
        <f>_xlfn.XLOOKUP(K365, recipe_cost!$A:$A, recipe_cost!$B:$B, "")</f>
        <v>0.56669999999999998</v>
      </c>
      <c r="S365" s="10">
        <f t="shared" si="39"/>
        <v>0.56669999999999998</v>
      </c>
      <c r="T365" s="10">
        <f t="shared" si="40"/>
        <v>4.0332999999999997</v>
      </c>
      <c r="U365" s="9">
        <f t="shared" si="41"/>
        <v>0.87680434782608696</v>
      </c>
    </row>
    <row r="366" spans="1:21" x14ac:dyDescent="0.3">
      <c r="A366" s="1">
        <v>365</v>
      </c>
      <c r="B366" s="1" t="s">
        <v>589</v>
      </c>
      <c r="C366" s="4">
        <v>45338.585416666669</v>
      </c>
      <c r="D366" s="5">
        <f t="shared" si="35"/>
        <v>45338</v>
      </c>
      <c r="E366" s="3">
        <f t="shared" si="36"/>
        <v>14</v>
      </c>
      <c r="F366" s="1" t="str" cm="1">
        <f t="array" ref="F366">_xlfn.IFS(
E366&lt;11,"Morning",
E366&lt;15,"Afternoon",
TRUE,"Evening"
)</f>
        <v>Afternoon</v>
      </c>
      <c r="G366" s="3" t="str">
        <f t="shared" si="37"/>
        <v>Fri</v>
      </c>
      <c r="H366" s="1" t="s">
        <v>590</v>
      </c>
      <c r="I366" s="1" t="s">
        <v>149</v>
      </c>
      <c r="J366" s="1" t="s">
        <v>122</v>
      </c>
      <c r="K366" s="1" t="str">
        <f>_xlfn.XLOOKUP($J366, items_clean!$A:$A, items_clean!$B:$B, "")</f>
        <v>CDR-CCF-MD</v>
      </c>
      <c r="L366" s="1" t="str">
        <f>_xlfn.XLOOKUP($J366, items_clean!$A:$A, items_clean!$C:$C, "")</f>
        <v>Cold Coffee</v>
      </c>
      <c r="M366" s="1" t="str">
        <f>_xlfn.XLOOKUP($J366, items_clean!$A:$A, items_clean!$D:$D, "")</f>
        <v>Cold Drinks</v>
      </c>
      <c r="N366" s="1" t="str">
        <f>_xlfn.XLOOKUP($J366, items_clean!$A:$A, items_clean!$E:$E, "")</f>
        <v>Medium</v>
      </c>
      <c r="O366" s="3">
        <v>1</v>
      </c>
      <c r="P366" s="2">
        <f>_xlfn.XLOOKUP($J366, items_clean!$A:$A, items_clean!$F:$F, "")</f>
        <v>3.45</v>
      </c>
      <c r="Q366" s="2">
        <f t="shared" si="38"/>
        <v>3.45</v>
      </c>
      <c r="R366" s="7">
        <f>_xlfn.XLOOKUP(K366, recipe_cost!$A:$A, recipe_cost!$B:$B, "")</f>
        <v>0.252</v>
      </c>
      <c r="S366" s="10">
        <f t="shared" si="39"/>
        <v>0.252</v>
      </c>
      <c r="T366" s="10">
        <f t="shared" si="40"/>
        <v>3.1980000000000004</v>
      </c>
      <c r="U366" s="9">
        <f t="shared" si="41"/>
        <v>0.92695652173913046</v>
      </c>
    </row>
    <row r="367" spans="1:21" x14ac:dyDescent="0.3">
      <c r="A367" s="1">
        <v>366</v>
      </c>
      <c r="B367" s="1" t="s">
        <v>589</v>
      </c>
      <c r="C367" s="4">
        <v>45338.585416666669</v>
      </c>
      <c r="D367" s="5">
        <f t="shared" si="35"/>
        <v>45338</v>
      </c>
      <c r="E367" s="3">
        <f t="shared" si="36"/>
        <v>14</v>
      </c>
      <c r="F367" s="1" t="str" cm="1">
        <f t="array" ref="F367">_xlfn.IFS(
E367&lt;11,"Morning",
E367&lt;15,"Afternoon",
TRUE,"Evening"
)</f>
        <v>Afternoon</v>
      </c>
      <c r="G367" s="3" t="str">
        <f t="shared" si="37"/>
        <v>Fri</v>
      </c>
      <c r="H367" s="1" t="s">
        <v>590</v>
      </c>
      <c r="I367" s="1" t="s">
        <v>778</v>
      </c>
      <c r="J367" s="1" t="s">
        <v>138</v>
      </c>
      <c r="K367" s="1" t="str">
        <f>_xlfn.XLOOKUP($J367, items_clean!$A:$A, items_clean!$B:$B, "")</f>
        <v>SNK-SSM</v>
      </c>
      <c r="L367" s="1" t="str">
        <f>_xlfn.XLOOKUP($J367, items_clean!$A:$A, items_clean!$C:$C, "")</f>
        <v>Sandwich Salami&amp;Mozzarella</v>
      </c>
      <c r="M367" s="1" t="str">
        <f>_xlfn.XLOOKUP($J367, items_clean!$A:$A, items_clean!$D:$D, "")</f>
        <v>Snacks</v>
      </c>
      <c r="N367" s="1" t="str">
        <f>_xlfn.XLOOKUP($J367, items_clean!$A:$A, items_clean!$E:$E, "")</f>
        <v>N/A</v>
      </c>
      <c r="O367" s="3">
        <v>1</v>
      </c>
      <c r="P367" s="2">
        <f>_xlfn.XLOOKUP($J367, items_clean!$A:$A, items_clean!$F:$F, "")</f>
        <v>5.5</v>
      </c>
      <c r="Q367" s="2">
        <f t="shared" si="38"/>
        <v>5.5</v>
      </c>
      <c r="R367" s="7">
        <f>_xlfn.XLOOKUP(K367, recipe_cost!$A:$A, recipe_cost!$B:$B, "")</f>
        <v>1.3120000000000001</v>
      </c>
      <c r="S367" s="10">
        <f t="shared" si="39"/>
        <v>1.3120000000000001</v>
      </c>
      <c r="T367" s="10">
        <f t="shared" si="40"/>
        <v>4.1879999999999997</v>
      </c>
      <c r="U367" s="9">
        <f t="shared" si="41"/>
        <v>0.76145454545454538</v>
      </c>
    </row>
    <row r="368" spans="1:21" x14ac:dyDescent="0.3">
      <c r="A368" s="1">
        <v>367</v>
      </c>
      <c r="B368" s="1" t="s">
        <v>591</v>
      </c>
      <c r="C368" s="4">
        <v>45338.589583333334</v>
      </c>
      <c r="D368" s="5">
        <f t="shared" si="35"/>
        <v>45338</v>
      </c>
      <c r="E368" s="3">
        <f t="shared" si="36"/>
        <v>14</v>
      </c>
      <c r="F368" s="1" t="str" cm="1">
        <f t="array" ref="F368">_xlfn.IFS(
E368&lt;11,"Morning",
E368&lt;15,"Afternoon",
TRUE,"Evening"
)</f>
        <v>Afternoon</v>
      </c>
      <c r="G368" s="3" t="str">
        <f t="shared" si="37"/>
        <v>Fri</v>
      </c>
      <c r="H368" s="1" t="s">
        <v>480</v>
      </c>
      <c r="I368" s="1" t="s">
        <v>146</v>
      </c>
      <c r="J368" s="1" t="s">
        <v>100</v>
      </c>
      <c r="K368" s="1" t="str">
        <f>_xlfn.XLOOKUP($J368, items_clean!$A:$A, items_clean!$B:$B, "")</f>
        <v>HDR-CAP-LG</v>
      </c>
      <c r="L368" s="1" t="str">
        <f>_xlfn.XLOOKUP($J368, items_clean!$A:$A, items_clean!$C:$C, "")</f>
        <v>Cappuccino</v>
      </c>
      <c r="M368" s="1" t="str">
        <f>_xlfn.XLOOKUP($J368, items_clean!$A:$A, items_clean!$D:$D, "")</f>
        <v>Hot Drinks</v>
      </c>
      <c r="N368" s="1" t="str">
        <f>_xlfn.XLOOKUP($J368, items_clean!$A:$A, items_clean!$E:$E, "")</f>
        <v>Large</v>
      </c>
      <c r="O368" s="3">
        <v>1</v>
      </c>
      <c r="P368" s="2">
        <f>_xlfn.XLOOKUP($J368, items_clean!$A:$A, items_clean!$F:$F, "")</f>
        <v>3.75</v>
      </c>
      <c r="Q368" s="2">
        <f t="shared" si="38"/>
        <v>3.75</v>
      </c>
      <c r="R368" s="7">
        <f>_xlfn.XLOOKUP(K368, recipe_cost!$A:$A, recipe_cost!$B:$B, "")</f>
        <v>0.33599999999999997</v>
      </c>
      <c r="S368" s="10">
        <f t="shared" si="39"/>
        <v>0.33599999999999997</v>
      </c>
      <c r="T368" s="10">
        <f t="shared" si="40"/>
        <v>3.4140000000000001</v>
      </c>
      <c r="U368" s="9">
        <f t="shared" si="41"/>
        <v>0.91039999999999999</v>
      </c>
    </row>
    <row r="369" spans="1:21" x14ac:dyDescent="0.3">
      <c r="A369" s="1">
        <v>368</v>
      </c>
      <c r="B369" s="1" t="s">
        <v>592</v>
      </c>
      <c r="C369" s="4">
        <v>45338.594444444447</v>
      </c>
      <c r="D369" s="5">
        <f t="shared" si="35"/>
        <v>45338</v>
      </c>
      <c r="E369" s="3">
        <f t="shared" si="36"/>
        <v>14</v>
      </c>
      <c r="F369" s="1" t="str" cm="1">
        <f t="array" ref="F369">_xlfn.IFS(
E369&lt;11,"Morning",
E369&lt;15,"Afternoon",
TRUE,"Evening"
)</f>
        <v>Afternoon</v>
      </c>
      <c r="G369" s="3" t="str">
        <f t="shared" si="37"/>
        <v>Fri</v>
      </c>
      <c r="H369" s="1" t="s">
        <v>482</v>
      </c>
      <c r="I369" s="1" t="s">
        <v>149</v>
      </c>
      <c r="J369" s="1" t="s">
        <v>132</v>
      </c>
      <c r="K369" s="1" t="str">
        <f>_xlfn.XLOOKUP($J369, items_clean!$A:$A, items_clean!$B:$B, "")</f>
        <v>CDR-LMN-MD</v>
      </c>
      <c r="L369" s="1" t="str">
        <f>_xlfn.XLOOKUP($J369, items_clean!$A:$A, items_clean!$C:$C, "")</f>
        <v>Lemonade</v>
      </c>
      <c r="M369" s="1" t="str">
        <f>_xlfn.XLOOKUP($J369, items_clean!$A:$A, items_clean!$D:$D, "")</f>
        <v>Cold Drinks</v>
      </c>
      <c r="N369" s="1" t="str">
        <f>_xlfn.XLOOKUP($J369, items_clean!$A:$A, items_clean!$E:$E, "")</f>
        <v>Medium</v>
      </c>
      <c r="O369" s="3">
        <v>1</v>
      </c>
      <c r="P369" s="2">
        <f>_xlfn.XLOOKUP($J369, items_clean!$A:$A, items_clean!$F:$F, "")</f>
        <v>3.35</v>
      </c>
      <c r="Q369" s="2">
        <f t="shared" si="38"/>
        <v>3.35</v>
      </c>
      <c r="R369" s="7">
        <f>_xlfn.XLOOKUP(K369, recipe_cost!$A:$A, recipe_cost!$B:$B, "")</f>
        <v>0.34499999999999997</v>
      </c>
      <c r="S369" s="10">
        <f t="shared" si="39"/>
        <v>0.34499999999999997</v>
      </c>
      <c r="T369" s="10">
        <f t="shared" si="40"/>
        <v>3.0049999999999999</v>
      </c>
      <c r="U369" s="9">
        <f t="shared" si="41"/>
        <v>0.89701492537313432</v>
      </c>
    </row>
    <row r="370" spans="1:21" x14ac:dyDescent="0.3">
      <c r="A370" s="1">
        <v>369</v>
      </c>
      <c r="B370" s="1" t="s">
        <v>593</v>
      </c>
      <c r="C370" s="4">
        <v>45338.598611111112</v>
      </c>
      <c r="D370" s="5">
        <f t="shared" si="35"/>
        <v>45338</v>
      </c>
      <c r="E370" s="3">
        <f t="shared" si="36"/>
        <v>14</v>
      </c>
      <c r="F370" s="1" t="str" cm="1">
        <f t="array" ref="F370">_xlfn.IFS(
E370&lt;11,"Morning",
E370&lt;15,"Afternoon",
TRUE,"Evening"
)</f>
        <v>Afternoon</v>
      </c>
      <c r="G370" s="3" t="str">
        <f t="shared" si="37"/>
        <v>Fri</v>
      </c>
      <c r="H370" s="1" t="s">
        <v>484</v>
      </c>
      <c r="I370" s="1" t="s">
        <v>146</v>
      </c>
      <c r="J370" s="1" t="s">
        <v>116</v>
      </c>
      <c r="K370" s="1" t="str">
        <f>_xlfn.XLOOKUP($J370, items_clean!$A:$A, items_clean!$B:$B, "")</f>
        <v>HDR-WMO-MD</v>
      </c>
      <c r="L370" s="1" t="str">
        <f>_xlfn.XLOOKUP($J370, items_clean!$A:$A, items_clean!$C:$C, "")</f>
        <v>White Mocha</v>
      </c>
      <c r="M370" s="1" t="str">
        <f>_xlfn.XLOOKUP($J370, items_clean!$A:$A, items_clean!$D:$D, "")</f>
        <v>Hot Drinks</v>
      </c>
      <c r="N370" s="1" t="str">
        <f>_xlfn.XLOOKUP($J370, items_clean!$A:$A, items_clean!$E:$E, "")</f>
        <v>Medium</v>
      </c>
      <c r="O370" s="3">
        <v>1</v>
      </c>
      <c r="P370" s="2">
        <f>_xlfn.XLOOKUP($J370, items_clean!$A:$A, items_clean!$F:$F, "")</f>
        <v>4.5</v>
      </c>
      <c r="Q370" s="2">
        <f t="shared" si="38"/>
        <v>4.5</v>
      </c>
      <c r="R370" s="7">
        <f>_xlfn.XLOOKUP(K370, recipe_cost!$A:$A, recipe_cost!$B:$B, "")</f>
        <v>0.4098</v>
      </c>
      <c r="S370" s="10">
        <f t="shared" si="39"/>
        <v>0.4098</v>
      </c>
      <c r="T370" s="10">
        <f t="shared" si="40"/>
        <v>4.0902000000000003</v>
      </c>
      <c r="U370" s="9">
        <f t="shared" si="41"/>
        <v>0.90893333333333337</v>
      </c>
    </row>
    <row r="371" spans="1:21" x14ac:dyDescent="0.3">
      <c r="A371" s="1">
        <v>370</v>
      </c>
      <c r="B371" s="1" t="s">
        <v>595</v>
      </c>
      <c r="C371" s="4">
        <v>45338.607638888891</v>
      </c>
      <c r="D371" s="5">
        <f t="shared" si="35"/>
        <v>45338</v>
      </c>
      <c r="E371" s="3">
        <f t="shared" si="36"/>
        <v>14</v>
      </c>
      <c r="F371" s="1" t="str" cm="1">
        <f t="array" ref="F371">_xlfn.IFS(
E371&lt;11,"Morning",
E371&lt;15,"Afternoon",
TRUE,"Evening"
)</f>
        <v>Afternoon</v>
      </c>
      <c r="G371" s="3" t="str">
        <f t="shared" si="37"/>
        <v>Fri</v>
      </c>
      <c r="H371" s="1" t="s">
        <v>596</v>
      </c>
      <c r="I371" s="1" t="s">
        <v>146</v>
      </c>
      <c r="J371" s="1" t="s">
        <v>125</v>
      </c>
      <c r="K371" s="1" t="str">
        <f>_xlfn.XLOOKUP($J371, items_clean!$A:$A, items_clean!$B:$B, "")</f>
        <v>CDR-CCF-LG</v>
      </c>
      <c r="L371" s="1" t="str">
        <f>_xlfn.XLOOKUP($J371, items_clean!$A:$A, items_clean!$C:$C, "")</f>
        <v>Cold Coffee</v>
      </c>
      <c r="M371" s="1" t="str">
        <f>_xlfn.XLOOKUP($J371, items_clean!$A:$A, items_clean!$D:$D, "")</f>
        <v>Cold Drinks</v>
      </c>
      <c r="N371" s="1" t="str">
        <f>_xlfn.XLOOKUP($J371, items_clean!$A:$A, items_clean!$E:$E, "")</f>
        <v>Large</v>
      </c>
      <c r="O371" s="3">
        <v>1</v>
      </c>
      <c r="P371" s="2">
        <f>_xlfn.XLOOKUP($J371, items_clean!$A:$A, items_clean!$F:$F, "")</f>
        <v>3.75</v>
      </c>
      <c r="Q371" s="2">
        <f t="shared" si="38"/>
        <v>3.75</v>
      </c>
      <c r="R371" s="7">
        <f>_xlfn.XLOOKUP(K371, recipe_cost!$A:$A, recipe_cost!$B:$B, "")</f>
        <v>0.33599999999999997</v>
      </c>
      <c r="S371" s="10">
        <f t="shared" si="39"/>
        <v>0.33599999999999997</v>
      </c>
      <c r="T371" s="10">
        <f t="shared" si="40"/>
        <v>3.4140000000000001</v>
      </c>
      <c r="U371" s="9">
        <f t="shared" si="41"/>
        <v>0.91039999999999999</v>
      </c>
    </row>
    <row r="372" spans="1:21" x14ac:dyDescent="0.3">
      <c r="A372" s="1">
        <v>371</v>
      </c>
      <c r="B372" s="1" t="s">
        <v>597</v>
      </c>
      <c r="C372" s="4">
        <v>45338.612500000003</v>
      </c>
      <c r="D372" s="5">
        <f t="shared" si="35"/>
        <v>45338</v>
      </c>
      <c r="E372" s="3">
        <f t="shared" si="36"/>
        <v>14</v>
      </c>
      <c r="F372" s="1" t="str" cm="1">
        <f t="array" ref="F372">_xlfn.IFS(
E372&lt;11,"Morning",
E372&lt;15,"Afternoon",
TRUE,"Evening"
)</f>
        <v>Afternoon</v>
      </c>
      <c r="G372" s="3" t="str">
        <f t="shared" si="37"/>
        <v>Fri</v>
      </c>
      <c r="H372" s="1" t="s">
        <v>598</v>
      </c>
      <c r="I372" s="1" t="s">
        <v>149</v>
      </c>
      <c r="J372" s="1" t="s">
        <v>105</v>
      </c>
      <c r="K372" s="1" t="str">
        <f>_xlfn.XLOOKUP($J372, items_clean!$A:$A, items_clean!$B:$B, "")</f>
        <v>HDR-FLT</v>
      </c>
      <c r="L372" s="1" t="str">
        <f>_xlfn.XLOOKUP($J372, items_clean!$A:$A, items_clean!$C:$C, "")</f>
        <v>Flat White</v>
      </c>
      <c r="M372" s="1" t="str">
        <f>_xlfn.XLOOKUP($J372, items_clean!$A:$A, items_clean!$D:$D, "")</f>
        <v>Hot Drinks</v>
      </c>
      <c r="N372" s="1" t="str">
        <f>_xlfn.XLOOKUP($J372, items_clean!$A:$A, items_clean!$E:$E, "")</f>
        <v>N/A</v>
      </c>
      <c r="O372" s="3">
        <v>1</v>
      </c>
      <c r="P372" s="2">
        <f>_xlfn.XLOOKUP($J372, items_clean!$A:$A, items_clean!$F:$F, "")</f>
        <v>3.15</v>
      </c>
      <c r="Q372" s="2">
        <f t="shared" si="38"/>
        <v>3.15</v>
      </c>
      <c r="R372" s="7">
        <f>_xlfn.XLOOKUP(K372, recipe_cost!$A:$A, recipe_cost!$B:$B, "")</f>
        <v>0.28799999999999998</v>
      </c>
      <c r="S372" s="10">
        <f t="shared" si="39"/>
        <v>0.28799999999999998</v>
      </c>
      <c r="T372" s="10">
        <f t="shared" si="40"/>
        <v>2.8620000000000001</v>
      </c>
      <c r="U372" s="9">
        <f t="shared" si="41"/>
        <v>0.90857142857142859</v>
      </c>
    </row>
    <row r="373" spans="1:21" x14ac:dyDescent="0.3">
      <c r="A373" s="1">
        <v>372</v>
      </c>
      <c r="B373" s="1" t="s">
        <v>599</v>
      </c>
      <c r="C373" s="4">
        <v>45338.616666666669</v>
      </c>
      <c r="D373" s="5">
        <f t="shared" si="35"/>
        <v>45338</v>
      </c>
      <c r="E373" s="3">
        <f t="shared" si="36"/>
        <v>14</v>
      </c>
      <c r="F373" s="1" t="str" cm="1">
        <f t="array" ref="F373">_xlfn.IFS(
E373&lt;11,"Morning",
E373&lt;15,"Afternoon",
TRUE,"Evening"
)</f>
        <v>Afternoon</v>
      </c>
      <c r="G373" s="3" t="str">
        <f t="shared" si="37"/>
        <v>Fri</v>
      </c>
      <c r="H373" s="1" t="s">
        <v>600</v>
      </c>
      <c r="I373" s="1" t="s">
        <v>146</v>
      </c>
      <c r="J373" s="1" t="s">
        <v>134</v>
      </c>
      <c r="K373" s="1" t="str">
        <f>_xlfn.XLOOKUP($J373, items_clean!$A:$A, items_clean!$B:$B, "")</f>
        <v>CDR-LMN-LG</v>
      </c>
      <c r="L373" s="1" t="str">
        <f>_xlfn.XLOOKUP($J373, items_clean!$A:$A, items_clean!$C:$C, "")</f>
        <v>Lemonade</v>
      </c>
      <c r="M373" s="1" t="str">
        <f>_xlfn.XLOOKUP($J373, items_clean!$A:$A, items_clean!$D:$D, "")</f>
        <v>Cold Drinks</v>
      </c>
      <c r="N373" s="1" t="str">
        <f>_xlfn.XLOOKUP($J373, items_clean!$A:$A, items_clean!$E:$E, "")</f>
        <v>Large</v>
      </c>
      <c r="O373" s="3">
        <v>1</v>
      </c>
      <c r="P373" s="2">
        <f>_xlfn.XLOOKUP($J373, items_clean!$A:$A, items_clean!$F:$F, "")</f>
        <v>3.75</v>
      </c>
      <c r="Q373" s="2">
        <f t="shared" si="38"/>
        <v>3.75</v>
      </c>
      <c r="R373" s="7">
        <f>_xlfn.XLOOKUP(K373, recipe_cost!$A:$A, recipe_cost!$B:$B, "")</f>
        <v>0.36</v>
      </c>
      <c r="S373" s="10">
        <f t="shared" si="39"/>
        <v>0.36</v>
      </c>
      <c r="T373" s="10">
        <f t="shared" si="40"/>
        <v>3.39</v>
      </c>
      <c r="U373" s="9">
        <f t="shared" si="41"/>
        <v>0.90400000000000003</v>
      </c>
    </row>
    <row r="374" spans="1:21" x14ac:dyDescent="0.3">
      <c r="A374" s="1">
        <v>373</v>
      </c>
      <c r="B374" s="1" t="s">
        <v>601</v>
      </c>
      <c r="C374" s="4">
        <v>45338.621527777781</v>
      </c>
      <c r="D374" s="5">
        <f t="shared" si="35"/>
        <v>45338</v>
      </c>
      <c r="E374" s="3">
        <f t="shared" si="36"/>
        <v>14</v>
      </c>
      <c r="F374" s="1" t="str" cm="1">
        <f t="array" ref="F374">_xlfn.IFS(
E374&lt;11,"Morning",
E374&lt;15,"Afternoon",
TRUE,"Evening"
)</f>
        <v>Afternoon</v>
      </c>
      <c r="G374" s="3" t="str">
        <f t="shared" si="37"/>
        <v>Fri</v>
      </c>
      <c r="H374" s="1" t="s">
        <v>602</v>
      </c>
      <c r="I374" s="1" t="s">
        <v>149</v>
      </c>
      <c r="J374" s="1" t="s">
        <v>113</v>
      </c>
      <c r="K374" s="1" t="str">
        <f>_xlfn.XLOOKUP($J374, items_clean!$A:$A, items_clean!$B:$B, "")</f>
        <v>HDR-MOC-MD</v>
      </c>
      <c r="L374" s="1" t="str">
        <f>_xlfn.XLOOKUP($J374, items_clean!$A:$A, items_clean!$C:$C, "")</f>
        <v>Mocha</v>
      </c>
      <c r="M374" s="1" t="str">
        <f>_xlfn.XLOOKUP($J374, items_clean!$A:$A, items_clean!$D:$D, "")</f>
        <v>Hot Drinks</v>
      </c>
      <c r="N374" s="1" t="str">
        <f>_xlfn.XLOOKUP($J374, items_clean!$A:$A, items_clean!$E:$E, "")</f>
        <v>Medium</v>
      </c>
      <c r="O374" s="3">
        <v>1</v>
      </c>
      <c r="P374" s="2">
        <f>_xlfn.XLOOKUP($J374, items_clean!$A:$A, items_clean!$F:$F, "")</f>
        <v>4</v>
      </c>
      <c r="Q374" s="2">
        <f t="shared" si="38"/>
        <v>4</v>
      </c>
      <c r="R374" s="7">
        <f>_xlfn.XLOOKUP(K374, recipe_cost!$A:$A, recipe_cost!$B:$B, "")</f>
        <v>0.4098</v>
      </c>
      <c r="S374" s="10">
        <f t="shared" si="39"/>
        <v>0.4098</v>
      </c>
      <c r="T374" s="10">
        <f t="shared" si="40"/>
        <v>3.5901999999999998</v>
      </c>
      <c r="U374" s="9">
        <f t="shared" si="41"/>
        <v>0.89754999999999996</v>
      </c>
    </row>
    <row r="375" spans="1:21" x14ac:dyDescent="0.3">
      <c r="A375" s="1">
        <v>374</v>
      </c>
      <c r="B375" s="1" t="s">
        <v>605</v>
      </c>
      <c r="C375" s="4">
        <v>45338.630555555559</v>
      </c>
      <c r="D375" s="5">
        <f t="shared" si="35"/>
        <v>45338</v>
      </c>
      <c r="E375" s="3">
        <f t="shared" si="36"/>
        <v>15</v>
      </c>
      <c r="F375" s="1" t="str" cm="1">
        <f t="array" ref="F375">_xlfn.IFS(
E375&lt;11,"Morning",
E375&lt;15,"Afternoon",
TRUE,"Evening"
)</f>
        <v>Evening</v>
      </c>
      <c r="G375" s="3" t="str">
        <f t="shared" si="37"/>
        <v>Fri</v>
      </c>
      <c r="H375" s="1" t="s">
        <v>606</v>
      </c>
      <c r="I375" s="1" t="s">
        <v>149</v>
      </c>
      <c r="J375" s="1" t="s">
        <v>128</v>
      </c>
      <c r="K375" s="1" t="str">
        <f>_xlfn.XLOOKUP($J375, items_clean!$A:$A, items_clean!$B:$B, "")</f>
        <v>CDR-CMO-LG</v>
      </c>
      <c r="L375" s="1" t="str">
        <f>_xlfn.XLOOKUP($J375, items_clean!$A:$A, items_clean!$C:$C, "")</f>
        <v>Cold Mocha</v>
      </c>
      <c r="M375" s="1" t="str">
        <f>_xlfn.XLOOKUP($J375, items_clean!$A:$A, items_clean!$D:$D, "")</f>
        <v>Cold Drinks</v>
      </c>
      <c r="N375" s="1" t="str">
        <f>_xlfn.XLOOKUP($J375, items_clean!$A:$A, items_clean!$E:$E, "")</f>
        <v>Large</v>
      </c>
      <c r="O375" s="3">
        <v>1</v>
      </c>
      <c r="P375" s="2">
        <f>_xlfn.XLOOKUP($J375, items_clean!$A:$A, items_clean!$F:$F, "")</f>
        <v>4.5999999999999996</v>
      </c>
      <c r="Q375" s="2">
        <f t="shared" si="38"/>
        <v>4.5999999999999996</v>
      </c>
      <c r="R375" s="7">
        <f>_xlfn.XLOOKUP(K375, recipe_cost!$A:$A, recipe_cost!$B:$B, "")</f>
        <v>0.56669999999999998</v>
      </c>
      <c r="S375" s="10">
        <f t="shared" si="39"/>
        <v>0.56669999999999998</v>
      </c>
      <c r="T375" s="10">
        <f t="shared" si="40"/>
        <v>4.0332999999999997</v>
      </c>
      <c r="U375" s="9">
        <f t="shared" si="41"/>
        <v>0.87680434782608696</v>
      </c>
    </row>
    <row r="376" spans="1:21" x14ac:dyDescent="0.3">
      <c r="A376" s="1">
        <v>375</v>
      </c>
      <c r="B376" s="1" t="s">
        <v>607</v>
      </c>
      <c r="C376" s="4">
        <v>45338.634722222225</v>
      </c>
      <c r="D376" s="5">
        <f t="shared" si="35"/>
        <v>45338</v>
      </c>
      <c r="E376" s="3">
        <f t="shared" si="36"/>
        <v>15</v>
      </c>
      <c r="F376" s="1" t="str" cm="1">
        <f t="array" ref="F376">_xlfn.IFS(
E376&lt;11,"Morning",
E376&lt;15,"Afternoon",
TRUE,"Evening"
)</f>
        <v>Evening</v>
      </c>
      <c r="G376" s="3" t="str">
        <f t="shared" si="37"/>
        <v>Fri</v>
      </c>
      <c r="H376" s="1" t="s">
        <v>608</v>
      </c>
      <c r="I376" s="1" t="s">
        <v>146</v>
      </c>
      <c r="J376" s="1" t="s">
        <v>102</v>
      </c>
      <c r="K376" s="1" t="str">
        <f>_xlfn.XLOOKUP($J376, items_clean!$A:$A, items_clean!$B:$B, "")</f>
        <v>HDR-LAT-MD</v>
      </c>
      <c r="L376" s="1" t="str">
        <f>_xlfn.XLOOKUP($J376, items_clean!$A:$A, items_clean!$C:$C, "")</f>
        <v>Latte</v>
      </c>
      <c r="M376" s="1" t="str">
        <f>_xlfn.XLOOKUP($J376, items_clean!$A:$A, items_clean!$D:$D, "")</f>
        <v>Hot Drinks</v>
      </c>
      <c r="N376" s="1" t="str">
        <f>_xlfn.XLOOKUP($J376, items_clean!$A:$A, items_clean!$E:$E, "")</f>
        <v>Medium</v>
      </c>
      <c r="O376" s="3">
        <v>1</v>
      </c>
      <c r="P376" s="2">
        <f>_xlfn.XLOOKUP($J376, items_clean!$A:$A, items_clean!$F:$F, "")</f>
        <v>3.45</v>
      </c>
      <c r="Q376" s="2">
        <f t="shared" si="38"/>
        <v>3.45</v>
      </c>
      <c r="R376" s="7">
        <f>_xlfn.XLOOKUP(K376, recipe_cost!$A:$A, recipe_cost!$B:$B, "")</f>
        <v>0.252</v>
      </c>
      <c r="S376" s="10">
        <f t="shared" si="39"/>
        <v>0.252</v>
      </c>
      <c r="T376" s="10">
        <f t="shared" si="40"/>
        <v>3.1980000000000004</v>
      </c>
      <c r="U376" s="9">
        <f t="shared" si="41"/>
        <v>0.92695652173913046</v>
      </c>
    </row>
    <row r="377" spans="1:21" x14ac:dyDescent="0.3">
      <c r="A377" s="1">
        <v>376</v>
      </c>
      <c r="B377" s="1" t="s">
        <v>609</v>
      </c>
      <c r="C377" s="4">
        <v>45338.63958333333</v>
      </c>
      <c r="D377" s="5">
        <f t="shared" si="35"/>
        <v>45338</v>
      </c>
      <c r="E377" s="3">
        <f t="shared" si="36"/>
        <v>15</v>
      </c>
      <c r="F377" s="1" t="str" cm="1">
        <f t="array" ref="F377">_xlfn.IFS(
E377&lt;11,"Morning",
E377&lt;15,"Afternoon",
TRUE,"Evening"
)</f>
        <v>Evening</v>
      </c>
      <c r="G377" s="3" t="str">
        <f t="shared" si="37"/>
        <v>Fri</v>
      </c>
      <c r="H377" s="1" t="s">
        <v>610</v>
      </c>
      <c r="I377" s="1" t="s">
        <v>149</v>
      </c>
      <c r="J377" s="1" t="s">
        <v>121</v>
      </c>
      <c r="K377" s="1" t="str">
        <f>_xlfn.XLOOKUP($J377, items_clean!$A:$A, items_clean!$B:$B, "")</f>
        <v>HDR-HCH-LG</v>
      </c>
      <c r="L377" s="1" t="str">
        <f>_xlfn.XLOOKUP($J377, items_clean!$A:$A, items_clean!$C:$C, "")</f>
        <v>Hot Chocolate</v>
      </c>
      <c r="M377" s="1" t="str">
        <f>_xlfn.XLOOKUP($J377, items_clean!$A:$A, items_clean!$D:$D, "")</f>
        <v>Hot Drinks</v>
      </c>
      <c r="N377" s="1" t="str">
        <f>_xlfn.XLOOKUP($J377, items_clean!$A:$A, items_clean!$E:$E, "")</f>
        <v>Large</v>
      </c>
      <c r="O377" s="3">
        <v>1</v>
      </c>
      <c r="P377" s="2">
        <f>_xlfn.XLOOKUP($J377, items_clean!$A:$A, items_clean!$F:$F, "")</f>
        <v>4.5999999999999996</v>
      </c>
      <c r="Q377" s="2">
        <f t="shared" si="38"/>
        <v>4.5999999999999996</v>
      </c>
      <c r="R377" s="7">
        <f>_xlfn.XLOOKUP(K377, recipe_cost!$A:$A, recipe_cost!$B:$B, "")</f>
        <v>1.4809999999999999</v>
      </c>
      <c r="S377" s="10">
        <f t="shared" si="39"/>
        <v>1.4809999999999999</v>
      </c>
      <c r="T377" s="10">
        <f t="shared" si="40"/>
        <v>3.1189999999999998</v>
      </c>
      <c r="U377" s="9">
        <f t="shared" si="41"/>
        <v>0.67804347826086953</v>
      </c>
    </row>
    <row r="378" spans="1:21" x14ac:dyDescent="0.3">
      <c r="A378" s="1">
        <v>377</v>
      </c>
      <c r="B378" s="1" t="s">
        <v>611</v>
      </c>
      <c r="C378" s="4">
        <v>45338.648611111108</v>
      </c>
      <c r="D378" s="5">
        <f t="shared" si="35"/>
        <v>45338</v>
      </c>
      <c r="E378" s="3">
        <f t="shared" si="36"/>
        <v>15</v>
      </c>
      <c r="F378" s="1" t="str" cm="1">
        <f t="array" ref="F378">_xlfn.IFS(
E378&lt;11,"Morning",
E378&lt;15,"Afternoon",
TRUE,"Evening"
)</f>
        <v>Evening</v>
      </c>
      <c r="G378" s="3" t="str">
        <f t="shared" si="37"/>
        <v>Fri</v>
      </c>
      <c r="H378" s="1" t="s">
        <v>407</v>
      </c>
      <c r="I378" s="1" t="s">
        <v>146</v>
      </c>
      <c r="J378" s="1" t="s">
        <v>134</v>
      </c>
      <c r="K378" s="1" t="str">
        <f>_xlfn.XLOOKUP($J378, items_clean!$A:$A, items_clean!$B:$B, "")</f>
        <v>CDR-LMN-LG</v>
      </c>
      <c r="L378" s="1" t="str">
        <f>_xlfn.XLOOKUP($J378, items_clean!$A:$A, items_clean!$C:$C, "")</f>
        <v>Lemonade</v>
      </c>
      <c r="M378" s="1" t="str">
        <f>_xlfn.XLOOKUP($J378, items_clean!$A:$A, items_clean!$D:$D, "")</f>
        <v>Cold Drinks</v>
      </c>
      <c r="N378" s="1" t="str">
        <f>_xlfn.XLOOKUP($J378, items_clean!$A:$A, items_clean!$E:$E, "")</f>
        <v>Large</v>
      </c>
      <c r="O378" s="3">
        <v>1</v>
      </c>
      <c r="P378" s="2">
        <f>_xlfn.XLOOKUP($J378, items_clean!$A:$A, items_clean!$F:$F, "")</f>
        <v>3.75</v>
      </c>
      <c r="Q378" s="2">
        <f t="shared" si="38"/>
        <v>3.75</v>
      </c>
      <c r="R378" s="7">
        <f>_xlfn.XLOOKUP(K378, recipe_cost!$A:$A, recipe_cost!$B:$B, "")</f>
        <v>0.36</v>
      </c>
      <c r="S378" s="10">
        <f t="shared" si="39"/>
        <v>0.36</v>
      </c>
      <c r="T378" s="10">
        <f t="shared" si="40"/>
        <v>3.39</v>
      </c>
      <c r="U378" s="9">
        <f t="shared" si="41"/>
        <v>0.90400000000000003</v>
      </c>
    </row>
    <row r="379" spans="1:21" x14ac:dyDescent="0.3">
      <c r="A379" s="1">
        <v>378</v>
      </c>
      <c r="B379" s="1" t="s">
        <v>612</v>
      </c>
      <c r="C379" s="4">
        <v>45338.662499999999</v>
      </c>
      <c r="D379" s="5">
        <f t="shared" si="35"/>
        <v>45338</v>
      </c>
      <c r="E379" s="3">
        <f t="shared" si="36"/>
        <v>15</v>
      </c>
      <c r="F379" s="1" t="str" cm="1">
        <f t="array" ref="F379">_xlfn.IFS(
E379&lt;11,"Morning",
E379&lt;15,"Afternoon",
TRUE,"Evening"
)</f>
        <v>Evening</v>
      </c>
      <c r="G379" s="3" t="str">
        <f t="shared" si="37"/>
        <v>Fri</v>
      </c>
      <c r="H379" s="1" t="s">
        <v>613</v>
      </c>
      <c r="I379" s="1" t="s">
        <v>149</v>
      </c>
      <c r="J379" s="1" t="s">
        <v>113</v>
      </c>
      <c r="K379" s="1" t="str">
        <f>_xlfn.XLOOKUP($J379, items_clean!$A:$A, items_clean!$B:$B, "")</f>
        <v>HDR-MOC-MD</v>
      </c>
      <c r="L379" s="1" t="str">
        <f>_xlfn.XLOOKUP($J379, items_clean!$A:$A, items_clean!$C:$C, "")</f>
        <v>Mocha</v>
      </c>
      <c r="M379" s="1" t="str">
        <f>_xlfn.XLOOKUP($J379, items_clean!$A:$A, items_clean!$D:$D, "")</f>
        <v>Hot Drinks</v>
      </c>
      <c r="N379" s="1" t="str">
        <f>_xlfn.XLOOKUP($J379, items_clean!$A:$A, items_clean!$E:$E, "")</f>
        <v>Medium</v>
      </c>
      <c r="O379" s="3">
        <v>1</v>
      </c>
      <c r="P379" s="2">
        <f>_xlfn.XLOOKUP($J379, items_clean!$A:$A, items_clean!$F:$F, "")</f>
        <v>4</v>
      </c>
      <c r="Q379" s="2">
        <f t="shared" si="38"/>
        <v>4</v>
      </c>
      <c r="R379" s="7">
        <f>_xlfn.XLOOKUP(K379, recipe_cost!$A:$A, recipe_cost!$B:$B, "")</f>
        <v>0.4098</v>
      </c>
      <c r="S379" s="10">
        <f t="shared" si="39"/>
        <v>0.4098</v>
      </c>
      <c r="T379" s="10">
        <f t="shared" si="40"/>
        <v>3.5901999999999998</v>
      </c>
      <c r="U379" s="9">
        <f t="shared" si="41"/>
        <v>0.89754999999999996</v>
      </c>
    </row>
    <row r="380" spans="1:21" x14ac:dyDescent="0.3">
      <c r="A380" s="1">
        <v>379</v>
      </c>
      <c r="B380" s="1" t="s">
        <v>614</v>
      </c>
      <c r="C380" s="4">
        <v>45338.676388888889</v>
      </c>
      <c r="D380" s="5">
        <f t="shared" si="35"/>
        <v>45338</v>
      </c>
      <c r="E380" s="3">
        <f t="shared" si="36"/>
        <v>16</v>
      </c>
      <c r="F380" s="1" t="str" cm="1">
        <f t="array" ref="F380">_xlfn.IFS(
E380&lt;11,"Morning",
E380&lt;15,"Afternoon",
TRUE,"Evening"
)</f>
        <v>Evening</v>
      </c>
      <c r="G380" s="3" t="str">
        <f t="shared" si="37"/>
        <v>Fri</v>
      </c>
      <c r="H380" s="1" t="s">
        <v>615</v>
      </c>
      <c r="I380" s="1" t="s">
        <v>146</v>
      </c>
      <c r="J380" s="1" t="s">
        <v>105</v>
      </c>
      <c r="K380" s="1" t="str">
        <f>_xlfn.XLOOKUP($J380, items_clean!$A:$A, items_clean!$B:$B, "")</f>
        <v>HDR-FLT</v>
      </c>
      <c r="L380" s="1" t="str">
        <f>_xlfn.XLOOKUP($J380, items_clean!$A:$A, items_clean!$C:$C, "")</f>
        <v>Flat White</v>
      </c>
      <c r="M380" s="1" t="str">
        <f>_xlfn.XLOOKUP($J380, items_clean!$A:$A, items_clean!$D:$D, "")</f>
        <v>Hot Drinks</v>
      </c>
      <c r="N380" s="1" t="str">
        <f>_xlfn.XLOOKUP($J380, items_clean!$A:$A, items_clean!$E:$E, "")</f>
        <v>N/A</v>
      </c>
      <c r="O380" s="3">
        <v>1</v>
      </c>
      <c r="P380" s="2">
        <f>_xlfn.XLOOKUP($J380, items_clean!$A:$A, items_clean!$F:$F, "")</f>
        <v>3.15</v>
      </c>
      <c r="Q380" s="2">
        <f t="shared" si="38"/>
        <v>3.15</v>
      </c>
      <c r="R380" s="7">
        <f>_xlfn.XLOOKUP(K380, recipe_cost!$A:$A, recipe_cost!$B:$B, "")</f>
        <v>0.28799999999999998</v>
      </c>
      <c r="S380" s="10">
        <f t="shared" si="39"/>
        <v>0.28799999999999998</v>
      </c>
      <c r="T380" s="10">
        <f t="shared" si="40"/>
        <v>2.8620000000000001</v>
      </c>
      <c r="U380" s="9">
        <f t="shared" si="41"/>
        <v>0.90857142857142859</v>
      </c>
    </row>
    <row r="381" spans="1:21" x14ac:dyDescent="0.3">
      <c r="A381" s="1">
        <v>380</v>
      </c>
      <c r="B381" s="1" t="s">
        <v>616</v>
      </c>
      <c r="C381" s="4">
        <v>45338.69027777778</v>
      </c>
      <c r="D381" s="5">
        <f t="shared" si="35"/>
        <v>45338</v>
      </c>
      <c r="E381" s="3">
        <f t="shared" si="36"/>
        <v>16</v>
      </c>
      <c r="F381" s="1" t="str" cm="1">
        <f t="array" ref="F381">_xlfn.IFS(
E381&lt;11,"Morning",
E381&lt;15,"Afternoon",
TRUE,"Evening"
)</f>
        <v>Evening</v>
      </c>
      <c r="G381" s="3" t="str">
        <f t="shared" si="37"/>
        <v>Fri</v>
      </c>
      <c r="H381" s="1" t="s">
        <v>617</v>
      </c>
      <c r="I381" s="1" t="s">
        <v>149</v>
      </c>
      <c r="J381" s="1" t="s">
        <v>128</v>
      </c>
      <c r="K381" s="1" t="str">
        <f>_xlfn.XLOOKUP($J381, items_clean!$A:$A, items_clean!$B:$B, "")</f>
        <v>CDR-CMO-LG</v>
      </c>
      <c r="L381" s="1" t="str">
        <f>_xlfn.XLOOKUP($J381, items_clean!$A:$A, items_clean!$C:$C, "")</f>
        <v>Cold Mocha</v>
      </c>
      <c r="M381" s="1" t="str">
        <f>_xlfn.XLOOKUP($J381, items_clean!$A:$A, items_clean!$D:$D, "")</f>
        <v>Cold Drinks</v>
      </c>
      <c r="N381" s="1" t="str">
        <f>_xlfn.XLOOKUP($J381, items_clean!$A:$A, items_clean!$E:$E, "")</f>
        <v>Large</v>
      </c>
      <c r="O381" s="3">
        <v>1</v>
      </c>
      <c r="P381" s="2">
        <f>_xlfn.XLOOKUP($J381, items_clean!$A:$A, items_clean!$F:$F, "")</f>
        <v>4.5999999999999996</v>
      </c>
      <c r="Q381" s="2">
        <f t="shared" si="38"/>
        <v>4.5999999999999996</v>
      </c>
      <c r="R381" s="7">
        <f>_xlfn.XLOOKUP(K381, recipe_cost!$A:$A, recipe_cost!$B:$B, "")</f>
        <v>0.56669999999999998</v>
      </c>
      <c r="S381" s="10">
        <f t="shared" si="39"/>
        <v>0.56669999999999998</v>
      </c>
      <c r="T381" s="10">
        <f t="shared" si="40"/>
        <v>4.0332999999999997</v>
      </c>
      <c r="U381" s="9">
        <f t="shared" si="41"/>
        <v>0.87680434782608696</v>
      </c>
    </row>
    <row r="382" spans="1:21" x14ac:dyDescent="0.3">
      <c r="A382" s="1">
        <v>381</v>
      </c>
      <c r="B382" s="1" t="s">
        <v>618</v>
      </c>
      <c r="C382" s="4">
        <v>45338.70416666667</v>
      </c>
      <c r="D382" s="5">
        <f t="shared" si="35"/>
        <v>45338</v>
      </c>
      <c r="E382" s="3">
        <f t="shared" si="36"/>
        <v>16</v>
      </c>
      <c r="F382" s="1" t="str" cm="1">
        <f t="array" ref="F382">_xlfn.IFS(
E382&lt;11,"Morning",
E382&lt;15,"Afternoon",
TRUE,"Evening"
)</f>
        <v>Evening</v>
      </c>
      <c r="G382" s="3" t="str">
        <f t="shared" si="37"/>
        <v>Fri</v>
      </c>
      <c r="H382" s="1" t="s">
        <v>619</v>
      </c>
      <c r="I382" s="1" t="s">
        <v>146</v>
      </c>
      <c r="J382" s="1" t="s">
        <v>96</v>
      </c>
      <c r="K382" s="1" t="str">
        <f>_xlfn.XLOOKUP($J382, items_clean!$A:$A, items_clean!$B:$B, "")</f>
        <v>HDR-CAP-MD</v>
      </c>
      <c r="L382" s="1" t="str">
        <f>_xlfn.XLOOKUP($J382, items_clean!$A:$A, items_clean!$C:$C, "")</f>
        <v>Cappuccino</v>
      </c>
      <c r="M382" s="1" t="str">
        <f>_xlfn.XLOOKUP($J382, items_clean!$A:$A, items_clean!$D:$D, "")</f>
        <v>Hot Drinks</v>
      </c>
      <c r="N382" s="1" t="str">
        <f>_xlfn.XLOOKUP($J382, items_clean!$A:$A, items_clean!$E:$E, "")</f>
        <v>Medium</v>
      </c>
      <c r="O382" s="3">
        <v>1</v>
      </c>
      <c r="P382" s="2">
        <f>_xlfn.XLOOKUP($J382, items_clean!$A:$A, items_clean!$F:$F, "")</f>
        <v>3.45</v>
      </c>
      <c r="Q382" s="2">
        <f t="shared" si="38"/>
        <v>3.45</v>
      </c>
      <c r="R382" s="7">
        <f>_xlfn.XLOOKUP(K382, recipe_cost!$A:$A, recipe_cost!$B:$B, "")</f>
        <v>0.252</v>
      </c>
      <c r="S382" s="10">
        <f t="shared" si="39"/>
        <v>0.252</v>
      </c>
      <c r="T382" s="10">
        <f t="shared" si="40"/>
        <v>3.1980000000000004</v>
      </c>
      <c r="U382" s="9">
        <f t="shared" si="41"/>
        <v>0.92695652173913046</v>
      </c>
    </row>
    <row r="383" spans="1:21" x14ac:dyDescent="0.3">
      <c r="A383" s="1">
        <v>382</v>
      </c>
      <c r="B383" s="1" t="s">
        <v>620</v>
      </c>
      <c r="C383" s="4">
        <v>45338.708333333336</v>
      </c>
      <c r="D383" s="5">
        <f t="shared" si="35"/>
        <v>45338</v>
      </c>
      <c r="E383" s="3">
        <f t="shared" si="36"/>
        <v>17</v>
      </c>
      <c r="F383" s="1" t="str" cm="1">
        <f t="array" ref="F383">_xlfn.IFS(
E383&lt;11,"Morning",
E383&lt;15,"Afternoon",
TRUE,"Evening"
)</f>
        <v>Evening</v>
      </c>
      <c r="G383" s="3" t="str">
        <f t="shared" si="37"/>
        <v>Fri</v>
      </c>
      <c r="H383" s="1" t="s">
        <v>531</v>
      </c>
      <c r="I383" s="1" t="s">
        <v>149</v>
      </c>
      <c r="J383" s="1" t="s">
        <v>121</v>
      </c>
      <c r="K383" s="1" t="str">
        <f>_xlfn.XLOOKUP($J383, items_clean!$A:$A, items_clean!$B:$B, "")</f>
        <v>HDR-HCH-LG</v>
      </c>
      <c r="L383" s="1" t="str">
        <f>_xlfn.XLOOKUP($J383, items_clean!$A:$A, items_clean!$C:$C, "")</f>
        <v>Hot Chocolate</v>
      </c>
      <c r="M383" s="1" t="str">
        <f>_xlfn.XLOOKUP($J383, items_clean!$A:$A, items_clean!$D:$D, "")</f>
        <v>Hot Drinks</v>
      </c>
      <c r="N383" s="1" t="str">
        <f>_xlfn.XLOOKUP($J383, items_clean!$A:$A, items_clean!$E:$E, "")</f>
        <v>Large</v>
      </c>
      <c r="O383" s="3">
        <v>1</v>
      </c>
      <c r="P383" s="2">
        <f>_xlfn.XLOOKUP($J383, items_clean!$A:$A, items_clean!$F:$F, "")</f>
        <v>4.5999999999999996</v>
      </c>
      <c r="Q383" s="2">
        <f t="shared" si="38"/>
        <v>4.5999999999999996</v>
      </c>
      <c r="R383" s="7">
        <f>_xlfn.XLOOKUP(K383, recipe_cost!$A:$A, recipe_cost!$B:$B, "")</f>
        <v>1.4809999999999999</v>
      </c>
      <c r="S383" s="10">
        <f t="shared" si="39"/>
        <v>1.4809999999999999</v>
      </c>
      <c r="T383" s="10">
        <f t="shared" si="40"/>
        <v>3.1189999999999998</v>
      </c>
      <c r="U383" s="9">
        <f t="shared" si="41"/>
        <v>0.67804347826086953</v>
      </c>
    </row>
    <row r="384" spans="1:21" x14ac:dyDescent="0.3">
      <c r="A384" s="1">
        <v>383</v>
      </c>
      <c r="B384" s="1" t="s">
        <v>621</v>
      </c>
      <c r="C384" s="4">
        <v>45339.293749999997</v>
      </c>
      <c r="D384" s="5">
        <f t="shared" si="35"/>
        <v>45339</v>
      </c>
      <c r="E384" s="3">
        <f t="shared" si="36"/>
        <v>7</v>
      </c>
      <c r="F384" s="1" t="str" cm="1">
        <f t="array" ref="F384">_xlfn.IFS(
E384&lt;11,"Morning",
E384&lt;15,"Afternoon",
TRUE,"Evening"
)</f>
        <v>Morning</v>
      </c>
      <c r="G384" s="3" t="str">
        <f t="shared" si="37"/>
        <v>Sat</v>
      </c>
      <c r="H384" s="1" t="s">
        <v>622</v>
      </c>
      <c r="I384" s="1" t="s">
        <v>149</v>
      </c>
      <c r="J384" s="1" t="s">
        <v>96</v>
      </c>
      <c r="K384" s="1" t="str">
        <f>_xlfn.XLOOKUP($J384, items_clean!$A:$A, items_clean!$B:$B, "")</f>
        <v>HDR-CAP-MD</v>
      </c>
      <c r="L384" s="1" t="str">
        <f>_xlfn.XLOOKUP($J384, items_clean!$A:$A, items_clean!$C:$C, "")</f>
        <v>Cappuccino</v>
      </c>
      <c r="M384" s="1" t="str">
        <f>_xlfn.XLOOKUP($J384, items_clean!$A:$A, items_clean!$D:$D, "")</f>
        <v>Hot Drinks</v>
      </c>
      <c r="N384" s="1" t="str">
        <f>_xlfn.XLOOKUP($J384, items_clean!$A:$A, items_clean!$E:$E, "")</f>
        <v>Medium</v>
      </c>
      <c r="O384" s="3">
        <v>1</v>
      </c>
      <c r="P384" s="2">
        <f>_xlfn.XLOOKUP($J384, items_clean!$A:$A, items_clean!$F:$F, "")</f>
        <v>3.45</v>
      </c>
      <c r="Q384" s="2">
        <f t="shared" si="38"/>
        <v>3.45</v>
      </c>
      <c r="R384" s="7">
        <f>_xlfn.XLOOKUP(K384, recipe_cost!$A:$A, recipe_cost!$B:$B, "")</f>
        <v>0.252</v>
      </c>
      <c r="S384" s="10">
        <f t="shared" si="39"/>
        <v>0.252</v>
      </c>
      <c r="T384" s="10">
        <f t="shared" si="40"/>
        <v>3.1980000000000004</v>
      </c>
      <c r="U384" s="9">
        <f t="shared" si="41"/>
        <v>0.92695652173913046</v>
      </c>
    </row>
    <row r="385" spans="1:21" x14ac:dyDescent="0.3">
      <c r="A385" s="1">
        <v>384</v>
      </c>
      <c r="B385" s="1" t="s">
        <v>623</v>
      </c>
      <c r="C385" s="4">
        <v>45339.297222222223</v>
      </c>
      <c r="D385" s="5">
        <f t="shared" si="35"/>
        <v>45339</v>
      </c>
      <c r="E385" s="3">
        <f t="shared" si="36"/>
        <v>7</v>
      </c>
      <c r="F385" s="1" t="str" cm="1">
        <f t="array" ref="F385">_xlfn.IFS(
E385&lt;11,"Morning",
E385&lt;15,"Afternoon",
TRUE,"Evening"
)</f>
        <v>Morning</v>
      </c>
      <c r="G385" s="3" t="str">
        <f t="shared" si="37"/>
        <v>Sat</v>
      </c>
      <c r="H385" s="1" t="s">
        <v>624</v>
      </c>
      <c r="I385" s="1" t="s">
        <v>146</v>
      </c>
      <c r="J385" s="1" t="s">
        <v>126</v>
      </c>
      <c r="K385" s="1" t="str">
        <f>_xlfn.XLOOKUP($J385, items_clean!$A:$A, items_clean!$B:$B, "")</f>
        <v>CDR-CMO-MD</v>
      </c>
      <c r="L385" s="1" t="str">
        <f>_xlfn.XLOOKUP($J385, items_clean!$A:$A, items_clean!$C:$C, "")</f>
        <v>Cold Mocha</v>
      </c>
      <c r="M385" s="1" t="str">
        <f>_xlfn.XLOOKUP($J385, items_clean!$A:$A, items_clean!$D:$D, "")</f>
        <v>Cold Drinks</v>
      </c>
      <c r="N385" s="1" t="str">
        <f>_xlfn.XLOOKUP($J385, items_clean!$A:$A, items_clean!$E:$E, "")</f>
        <v>Medium</v>
      </c>
      <c r="O385" s="3">
        <v>1</v>
      </c>
      <c r="P385" s="2">
        <f>_xlfn.XLOOKUP($J385, items_clean!$A:$A, items_clean!$F:$F, "")</f>
        <v>4</v>
      </c>
      <c r="Q385" s="2">
        <f t="shared" si="38"/>
        <v>4</v>
      </c>
      <c r="R385" s="7">
        <f>_xlfn.XLOOKUP(K385, recipe_cost!$A:$A, recipe_cost!$B:$B, "")</f>
        <v>0.4098</v>
      </c>
      <c r="S385" s="10">
        <f t="shared" si="39"/>
        <v>0.4098</v>
      </c>
      <c r="T385" s="10">
        <f t="shared" si="40"/>
        <v>3.5901999999999998</v>
      </c>
      <c r="U385" s="9">
        <f t="shared" si="41"/>
        <v>0.89754999999999996</v>
      </c>
    </row>
    <row r="386" spans="1:21" x14ac:dyDescent="0.3">
      <c r="A386" s="1">
        <v>385</v>
      </c>
      <c r="B386" s="1" t="s">
        <v>623</v>
      </c>
      <c r="C386" s="4">
        <v>45339.297222222223</v>
      </c>
      <c r="D386" s="5">
        <f t="shared" si="35"/>
        <v>45339</v>
      </c>
      <c r="E386" s="3">
        <f t="shared" si="36"/>
        <v>7</v>
      </c>
      <c r="F386" s="1" t="str" cm="1">
        <f t="array" ref="F386">_xlfn.IFS(
E386&lt;11,"Morning",
E386&lt;15,"Afternoon",
TRUE,"Evening"
)</f>
        <v>Morning</v>
      </c>
      <c r="G386" s="3" t="str">
        <f t="shared" si="37"/>
        <v>Sat</v>
      </c>
      <c r="H386" s="1" t="s">
        <v>624</v>
      </c>
      <c r="I386" s="1" t="s">
        <v>778</v>
      </c>
      <c r="J386" s="1" t="s">
        <v>135</v>
      </c>
      <c r="K386" s="1" t="str">
        <f>_xlfn.XLOOKUP($J386, items_clean!$A:$A, items_clean!$B:$B, "")</f>
        <v>SNK-SHC</v>
      </c>
      <c r="L386" s="1" t="str">
        <f>_xlfn.XLOOKUP($J386, items_clean!$A:$A, items_clean!$C:$C, "")</f>
        <v>Sandwich Ham&amp;Cheese</v>
      </c>
      <c r="M386" s="1" t="str">
        <f>_xlfn.XLOOKUP($J386, items_clean!$A:$A, items_clean!$D:$D, "")</f>
        <v>Snacks</v>
      </c>
      <c r="N386" s="1" t="str">
        <f>_xlfn.XLOOKUP($J386, items_clean!$A:$A, items_clean!$E:$E, "")</f>
        <v>N/A</v>
      </c>
      <c r="O386" s="3">
        <v>1</v>
      </c>
      <c r="P386" s="2">
        <f>_xlfn.XLOOKUP($J386, items_clean!$A:$A, items_clean!$F:$F, "")</f>
        <v>5.6</v>
      </c>
      <c r="Q386" s="2">
        <f t="shared" si="38"/>
        <v>5.6</v>
      </c>
      <c r="R386" s="7">
        <f>_xlfn.XLOOKUP(K386, recipe_cost!$A:$A, recipe_cost!$B:$B, "")</f>
        <v>2.0105</v>
      </c>
      <c r="S386" s="10">
        <f t="shared" si="39"/>
        <v>2.0105</v>
      </c>
      <c r="T386" s="10">
        <f t="shared" si="40"/>
        <v>3.5894999999999997</v>
      </c>
      <c r="U386" s="9">
        <f t="shared" si="41"/>
        <v>0.64098214285714283</v>
      </c>
    </row>
    <row r="387" spans="1:21" x14ac:dyDescent="0.3">
      <c r="A387" s="1">
        <v>386</v>
      </c>
      <c r="B387" s="1" t="s">
        <v>625</v>
      </c>
      <c r="C387" s="4">
        <v>45339.300694444442</v>
      </c>
      <c r="D387" s="5">
        <f t="shared" ref="D387:D450" si="42">INT(C387)</f>
        <v>45339</v>
      </c>
      <c r="E387" s="3">
        <f t="shared" ref="E387:E450" si="43">HOUR(C387)</f>
        <v>7</v>
      </c>
      <c r="F387" s="1" t="str" cm="1">
        <f t="array" ref="F387">_xlfn.IFS(
E387&lt;11,"Morning",
E387&lt;15,"Afternoon",
TRUE,"Evening"
)</f>
        <v>Morning</v>
      </c>
      <c r="G387" s="3" t="str">
        <f t="shared" ref="G387:G450" si="44">TEXT(C387,"ddd")</f>
        <v>Sat</v>
      </c>
      <c r="H387" s="1" t="s">
        <v>626</v>
      </c>
      <c r="I387" s="1" t="s">
        <v>149</v>
      </c>
      <c r="J387" s="1" t="s">
        <v>104</v>
      </c>
      <c r="K387" s="1" t="str">
        <f>_xlfn.XLOOKUP($J387, items_clean!$A:$A, items_clean!$B:$B, "")</f>
        <v>HDR-LAT-LG</v>
      </c>
      <c r="L387" s="1" t="str">
        <f>_xlfn.XLOOKUP($J387, items_clean!$A:$A, items_clean!$C:$C, "")</f>
        <v>Latte</v>
      </c>
      <c r="M387" s="1" t="str">
        <f>_xlfn.XLOOKUP($J387, items_clean!$A:$A, items_clean!$D:$D, "")</f>
        <v>Hot Drinks</v>
      </c>
      <c r="N387" s="1" t="str">
        <f>_xlfn.XLOOKUP($J387, items_clean!$A:$A, items_clean!$E:$E, "")</f>
        <v>Large</v>
      </c>
      <c r="O387" s="3">
        <v>1</v>
      </c>
      <c r="P387" s="2">
        <f>_xlfn.XLOOKUP($J387, items_clean!$A:$A, items_clean!$F:$F, "")</f>
        <v>3.75</v>
      </c>
      <c r="Q387" s="2">
        <f t="shared" ref="Q387:Q450" si="45">O387*P387</f>
        <v>3.75</v>
      </c>
      <c r="R387" s="7">
        <f>_xlfn.XLOOKUP(K387, recipe_cost!$A:$A, recipe_cost!$B:$B, "")</f>
        <v>0.33599999999999997</v>
      </c>
      <c r="S387" s="10">
        <f t="shared" ref="S387:S450" si="46">O387 * R387</f>
        <v>0.33599999999999997</v>
      </c>
      <c r="T387" s="10">
        <f t="shared" ref="T387:T450" si="47">Q387-S387</f>
        <v>3.4140000000000001</v>
      </c>
      <c r="U387" s="9">
        <f t="shared" ref="U387:U450" si="48">IF(Q387=0,"",T387/Q387)</f>
        <v>0.91039999999999999</v>
      </c>
    </row>
    <row r="388" spans="1:21" x14ac:dyDescent="0.3">
      <c r="A388" s="1">
        <v>387</v>
      </c>
      <c r="B388" s="1" t="s">
        <v>627</v>
      </c>
      <c r="C388" s="4">
        <v>45339.304166666669</v>
      </c>
      <c r="D388" s="5">
        <f t="shared" si="42"/>
        <v>45339</v>
      </c>
      <c r="E388" s="3">
        <f t="shared" si="43"/>
        <v>7</v>
      </c>
      <c r="F388" s="1" t="str" cm="1">
        <f t="array" ref="F388">_xlfn.IFS(
E388&lt;11,"Morning",
E388&lt;15,"Afternoon",
TRUE,"Evening"
)</f>
        <v>Morning</v>
      </c>
      <c r="G388" s="3" t="str">
        <f t="shared" si="44"/>
        <v>Sat</v>
      </c>
      <c r="H388" s="1" t="s">
        <v>432</v>
      </c>
      <c r="I388" s="1" t="s">
        <v>778</v>
      </c>
      <c r="J388" s="1" t="s">
        <v>131</v>
      </c>
      <c r="K388" s="1" t="str">
        <f>_xlfn.XLOOKUP($J388, items_clean!$A:$A, items_clean!$B:$B, "")</f>
        <v>CDR-ICT-LG</v>
      </c>
      <c r="L388" s="1" t="str">
        <f>_xlfn.XLOOKUP($J388, items_clean!$A:$A, items_clean!$C:$C, "")</f>
        <v>Iced Tea</v>
      </c>
      <c r="M388" s="1" t="str">
        <f>_xlfn.XLOOKUP($J388, items_clean!$A:$A, items_clean!$D:$D, "")</f>
        <v>Cold Drinks</v>
      </c>
      <c r="N388" s="1" t="str">
        <f>_xlfn.XLOOKUP($J388, items_clean!$A:$A, items_clean!$E:$E, "")</f>
        <v>Large</v>
      </c>
      <c r="O388" s="3">
        <v>1</v>
      </c>
      <c r="P388" s="2">
        <f>_xlfn.XLOOKUP($J388, items_clean!$A:$A, items_clean!$F:$F, "")</f>
        <v>3.55</v>
      </c>
      <c r="Q388" s="2">
        <f t="shared" si="45"/>
        <v>3.55</v>
      </c>
      <c r="R388" s="7">
        <f>_xlfn.XLOOKUP(K388, recipe_cost!$A:$A, recipe_cost!$B:$B, "")</f>
        <v>0.26984999999999998</v>
      </c>
      <c r="S388" s="10">
        <f t="shared" si="46"/>
        <v>0.26984999999999998</v>
      </c>
      <c r="T388" s="10">
        <f t="shared" si="47"/>
        <v>3.2801499999999999</v>
      </c>
      <c r="U388" s="9">
        <f t="shared" si="48"/>
        <v>0.92398591549295772</v>
      </c>
    </row>
    <row r="389" spans="1:21" x14ac:dyDescent="0.3">
      <c r="A389" s="1">
        <v>388</v>
      </c>
      <c r="B389" s="1" t="s">
        <v>628</v>
      </c>
      <c r="C389" s="4">
        <v>45339.307638888888</v>
      </c>
      <c r="D389" s="5">
        <f t="shared" si="42"/>
        <v>45339</v>
      </c>
      <c r="E389" s="3">
        <f t="shared" si="43"/>
        <v>7</v>
      </c>
      <c r="F389" s="1" t="str" cm="1">
        <f t="array" ref="F389">_xlfn.IFS(
E389&lt;11,"Morning",
E389&lt;15,"Afternoon",
TRUE,"Evening"
)</f>
        <v>Morning</v>
      </c>
      <c r="G389" s="3" t="str">
        <f t="shared" si="44"/>
        <v>Sat</v>
      </c>
      <c r="H389" s="1" t="s">
        <v>434</v>
      </c>
      <c r="I389" s="1" t="s">
        <v>149</v>
      </c>
      <c r="J389" s="1" t="s">
        <v>113</v>
      </c>
      <c r="K389" s="1" t="str">
        <f>_xlfn.XLOOKUP($J389, items_clean!$A:$A, items_clean!$B:$B, "")</f>
        <v>HDR-MOC-MD</v>
      </c>
      <c r="L389" s="1" t="str">
        <f>_xlfn.XLOOKUP($J389, items_clean!$A:$A, items_clean!$C:$C, "")</f>
        <v>Mocha</v>
      </c>
      <c r="M389" s="1" t="str">
        <f>_xlfn.XLOOKUP($J389, items_clean!$A:$A, items_clean!$D:$D, "")</f>
        <v>Hot Drinks</v>
      </c>
      <c r="N389" s="1" t="str">
        <f>_xlfn.XLOOKUP($J389, items_clean!$A:$A, items_clean!$E:$E, "")</f>
        <v>Medium</v>
      </c>
      <c r="O389" s="3">
        <v>1</v>
      </c>
      <c r="P389" s="2">
        <f>_xlfn.XLOOKUP($J389, items_clean!$A:$A, items_clean!$F:$F, "")</f>
        <v>4</v>
      </c>
      <c r="Q389" s="2">
        <f t="shared" si="45"/>
        <v>4</v>
      </c>
      <c r="R389" s="7">
        <f>_xlfn.XLOOKUP(K389, recipe_cost!$A:$A, recipe_cost!$B:$B, "")</f>
        <v>0.4098</v>
      </c>
      <c r="S389" s="10">
        <f t="shared" si="46"/>
        <v>0.4098</v>
      </c>
      <c r="T389" s="10">
        <f t="shared" si="47"/>
        <v>3.5901999999999998</v>
      </c>
      <c r="U389" s="9">
        <f t="shared" si="48"/>
        <v>0.89754999999999996</v>
      </c>
    </row>
    <row r="390" spans="1:21" x14ac:dyDescent="0.3">
      <c r="A390" s="1">
        <v>389</v>
      </c>
      <c r="B390" s="1" t="s">
        <v>629</v>
      </c>
      <c r="C390" s="4">
        <v>45339.311111111114</v>
      </c>
      <c r="D390" s="5">
        <f t="shared" si="42"/>
        <v>45339</v>
      </c>
      <c r="E390" s="3">
        <f t="shared" si="43"/>
        <v>7</v>
      </c>
      <c r="F390" s="1" t="str" cm="1">
        <f t="array" ref="F390">_xlfn.IFS(
E390&lt;11,"Morning",
E390&lt;15,"Afternoon",
TRUE,"Evening"
)</f>
        <v>Morning</v>
      </c>
      <c r="G390" s="3" t="str">
        <f t="shared" si="44"/>
        <v>Sat</v>
      </c>
      <c r="H390" s="1" t="s">
        <v>472</v>
      </c>
      <c r="I390" s="1" t="s">
        <v>146</v>
      </c>
      <c r="J390" s="1" t="s">
        <v>121</v>
      </c>
      <c r="K390" s="1" t="str">
        <f>_xlfn.XLOOKUP($J390, items_clean!$A:$A, items_clean!$B:$B, "")</f>
        <v>HDR-HCH-LG</v>
      </c>
      <c r="L390" s="1" t="str">
        <f>_xlfn.XLOOKUP($J390, items_clean!$A:$A, items_clean!$C:$C, "")</f>
        <v>Hot Chocolate</v>
      </c>
      <c r="M390" s="1" t="str">
        <f>_xlfn.XLOOKUP($J390, items_clean!$A:$A, items_clean!$D:$D, "")</f>
        <v>Hot Drinks</v>
      </c>
      <c r="N390" s="1" t="str">
        <f>_xlfn.XLOOKUP($J390, items_clean!$A:$A, items_clean!$E:$E, "")</f>
        <v>Large</v>
      </c>
      <c r="O390" s="3">
        <v>1</v>
      </c>
      <c r="P390" s="2">
        <f>_xlfn.XLOOKUP($J390, items_clean!$A:$A, items_clean!$F:$F, "")</f>
        <v>4.5999999999999996</v>
      </c>
      <c r="Q390" s="2">
        <f t="shared" si="45"/>
        <v>4.5999999999999996</v>
      </c>
      <c r="R390" s="7">
        <f>_xlfn.XLOOKUP(K390, recipe_cost!$A:$A, recipe_cost!$B:$B, "")</f>
        <v>1.4809999999999999</v>
      </c>
      <c r="S390" s="10">
        <f t="shared" si="46"/>
        <v>1.4809999999999999</v>
      </c>
      <c r="T390" s="10">
        <f t="shared" si="47"/>
        <v>3.1189999999999998</v>
      </c>
      <c r="U390" s="9">
        <f t="shared" si="48"/>
        <v>0.67804347826086953</v>
      </c>
    </row>
    <row r="391" spans="1:21" x14ac:dyDescent="0.3">
      <c r="A391" s="1">
        <v>390</v>
      </c>
      <c r="B391" s="1" t="s">
        <v>629</v>
      </c>
      <c r="C391" s="4">
        <v>45339.311111111114</v>
      </c>
      <c r="D391" s="5">
        <f t="shared" si="42"/>
        <v>45339</v>
      </c>
      <c r="E391" s="3">
        <f t="shared" si="43"/>
        <v>7</v>
      </c>
      <c r="F391" s="1" t="str" cm="1">
        <f t="array" ref="F391">_xlfn.IFS(
E391&lt;11,"Morning",
E391&lt;15,"Afternoon",
TRUE,"Evening"
)</f>
        <v>Morning</v>
      </c>
      <c r="G391" s="3" t="str">
        <f t="shared" si="44"/>
        <v>Sat</v>
      </c>
      <c r="H391" s="1" t="s">
        <v>472</v>
      </c>
      <c r="I391" s="1" t="s">
        <v>778</v>
      </c>
      <c r="J391" s="1" t="s">
        <v>110</v>
      </c>
      <c r="K391" s="1" t="str">
        <f>_xlfn.XLOOKUP($J391, items_clean!$A:$A, items_clean!$B:$B, "")</f>
        <v>HDR-CRM-LG</v>
      </c>
      <c r="L391" s="1" t="str">
        <f>_xlfn.XLOOKUP($J391, items_clean!$A:$A, items_clean!$C:$C, "")</f>
        <v>Caramel Macchiato</v>
      </c>
      <c r="M391" s="1" t="str">
        <f>_xlfn.XLOOKUP($J391, items_clean!$A:$A, items_clean!$D:$D, "")</f>
        <v>Hot Drinks</v>
      </c>
      <c r="N391" s="1" t="str">
        <f>_xlfn.XLOOKUP($J391, items_clean!$A:$A, items_clean!$E:$E, "")</f>
        <v>Large</v>
      </c>
      <c r="O391" s="3">
        <v>1</v>
      </c>
      <c r="P391" s="2">
        <f>_xlfn.XLOOKUP($J391, items_clean!$A:$A, items_clean!$F:$F, "")</f>
        <v>4.5999999999999996</v>
      </c>
      <c r="Q391" s="2">
        <f t="shared" si="45"/>
        <v>4.5999999999999996</v>
      </c>
      <c r="R391" s="7">
        <f>_xlfn.XLOOKUP(K391, recipe_cost!$A:$A, recipe_cost!$B:$B, "")</f>
        <v>0.56669999999999998</v>
      </c>
      <c r="S391" s="10">
        <f t="shared" si="46"/>
        <v>0.56669999999999998</v>
      </c>
      <c r="T391" s="10">
        <f t="shared" si="47"/>
        <v>4.0332999999999997</v>
      </c>
      <c r="U391" s="9">
        <f t="shared" si="48"/>
        <v>0.87680434782608696</v>
      </c>
    </row>
    <row r="392" spans="1:21" x14ac:dyDescent="0.3">
      <c r="A392" s="1">
        <v>391</v>
      </c>
      <c r="B392" s="1" t="s">
        <v>630</v>
      </c>
      <c r="C392" s="4">
        <v>45339.31527777778</v>
      </c>
      <c r="D392" s="5">
        <f t="shared" si="42"/>
        <v>45339</v>
      </c>
      <c r="E392" s="3">
        <f t="shared" si="43"/>
        <v>7</v>
      </c>
      <c r="F392" s="1" t="str" cm="1">
        <f t="array" ref="F392">_xlfn.IFS(
E392&lt;11,"Morning",
E392&lt;15,"Afternoon",
TRUE,"Evening"
)</f>
        <v>Morning</v>
      </c>
      <c r="G392" s="3" t="str">
        <f t="shared" si="44"/>
        <v>Sat</v>
      </c>
      <c r="H392" s="1" t="s">
        <v>474</v>
      </c>
      <c r="I392" s="1" t="s">
        <v>149</v>
      </c>
      <c r="J392" s="1" t="s">
        <v>134</v>
      </c>
      <c r="K392" s="1" t="str">
        <f>_xlfn.XLOOKUP($J392, items_clean!$A:$A, items_clean!$B:$B, "")</f>
        <v>CDR-LMN-LG</v>
      </c>
      <c r="L392" s="1" t="str">
        <f>_xlfn.XLOOKUP($J392, items_clean!$A:$A, items_clean!$C:$C, "")</f>
        <v>Lemonade</v>
      </c>
      <c r="M392" s="1" t="str">
        <f>_xlfn.XLOOKUP($J392, items_clean!$A:$A, items_clean!$D:$D, "")</f>
        <v>Cold Drinks</v>
      </c>
      <c r="N392" s="1" t="str">
        <f>_xlfn.XLOOKUP($J392, items_clean!$A:$A, items_clean!$E:$E, "")</f>
        <v>Large</v>
      </c>
      <c r="O392" s="3">
        <v>1</v>
      </c>
      <c r="P392" s="2">
        <f>_xlfn.XLOOKUP($J392, items_clean!$A:$A, items_clean!$F:$F, "")</f>
        <v>3.75</v>
      </c>
      <c r="Q392" s="2">
        <f t="shared" si="45"/>
        <v>3.75</v>
      </c>
      <c r="R392" s="7">
        <f>_xlfn.XLOOKUP(K392, recipe_cost!$A:$A, recipe_cost!$B:$B, "")</f>
        <v>0.36</v>
      </c>
      <c r="S392" s="10">
        <f t="shared" si="46"/>
        <v>0.36</v>
      </c>
      <c r="T392" s="10">
        <f t="shared" si="47"/>
        <v>3.39</v>
      </c>
      <c r="U392" s="9">
        <f t="shared" si="48"/>
        <v>0.90400000000000003</v>
      </c>
    </row>
    <row r="393" spans="1:21" x14ac:dyDescent="0.3">
      <c r="A393" s="1">
        <v>392</v>
      </c>
      <c r="B393" s="1" t="s">
        <v>631</v>
      </c>
      <c r="C393" s="4">
        <v>45339.318749999999</v>
      </c>
      <c r="D393" s="5">
        <f t="shared" si="42"/>
        <v>45339</v>
      </c>
      <c r="E393" s="3">
        <f t="shared" si="43"/>
        <v>7</v>
      </c>
      <c r="F393" s="1" t="str" cm="1">
        <f t="array" ref="F393">_xlfn.IFS(
E393&lt;11,"Morning",
E393&lt;15,"Afternoon",
TRUE,"Evening"
)</f>
        <v>Morning</v>
      </c>
      <c r="G393" s="3" t="str">
        <f t="shared" si="44"/>
        <v>Sat</v>
      </c>
      <c r="H393" s="1" t="s">
        <v>476</v>
      </c>
      <c r="I393" s="1" t="s">
        <v>146</v>
      </c>
      <c r="J393" s="1" t="s">
        <v>105</v>
      </c>
      <c r="K393" s="1" t="str">
        <f>_xlfn.XLOOKUP($J393, items_clean!$A:$A, items_clean!$B:$B, "")</f>
        <v>HDR-FLT</v>
      </c>
      <c r="L393" s="1" t="str">
        <f>_xlfn.XLOOKUP($J393, items_clean!$A:$A, items_clean!$C:$C, "")</f>
        <v>Flat White</v>
      </c>
      <c r="M393" s="1" t="str">
        <f>_xlfn.XLOOKUP($J393, items_clean!$A:$A, items_clean!$D:$D, "")</f>
        <v>Hot Drinks</v>
      </c>
      <c r="N393" s="1" t="str">
        <f>_xlfn.XLOOKUP($J393, items_clean!$A:$A, items_clean!$E:$E, "")</f>
        <v>N/A</v>
      </c>
      <c r="O393" s="3">
        <v>1</v>
      </c>
      <c r="P393" s="2">
        <f>_xlfn.XLOOKUP($J393, items_clean!$A:$A, items_clean!$F:$F, "")</f>
        <v>3.15</v>
      </c>
      <c r="Q393" s="2">
        <f t="shared" si="45"/>
        <v>3.15</v>
      </c>
      <c r="R393" s="7">
        <f>_xlfn.XLOOKUP(K393, recipe_cost!$A:$A, recipe_cost!$B:$B, "")</f>
        <v>0.28799999999999998</v>
      </c>
      <c r="S393" s="10">
        <f t="shared" si="46"/>
        <v>0.28799999999999998</v>
      </c>
      <c r="T393" s="10">
        <f t="shared" si="47"/>
        <v>2.8620000000000001</v>
      </c>
      <c r="U393" s="9">
        <f t="shared" si="48"/>
        <v>0.90857142857142859</v>
      </c>
    </row>
    <row r="394" spans="1:21" x14ac:dyDescent="0.3">
      <c r="A394" s="1">
        <v>393</v>
      </c>
      <c r="B394" s="1" t="s">
        <v>632</v>
      </c>
      <c r="C394" s="4">
        <v>45339.322222222225</v>
      </c>
      <c r="D394" s="5">
        <f t="shared" si="42"/>
        <v>45339</v>
      </c>
      <c r="E394" s="3">
        <f t="shared" si="43"/>
        <v>7</v>
      </c>
      <c r="F394" s="1" t="str" cm="1">
        <f t="array" ref="F394">_xlfn.IFS(
E394&lt;11,"Morning",
E394&lt;15,"Afternoon",
TRUE,"Evening"
)</f>
        <v>Morning</v>
      </c>
      <c r="G394" s="3" t="str">
        <f t="shared" si="44"/>
        <v>Sat</v>
      </c>
      <c r="H394" s="1" t="s">
        <v>478</v>
      </c>
      <c r="I394" s="1" t="s">
        <v>149</v>
      </c>
      <c r="J394" s="1" t="s">
        <v>118</v>
      </c>
      <c r="K394" s="1" t="str">
        <f>_xlfn.XLOOKUP($J394, items_clean!$A:$A, items_clean!$B:$B, "")</f>
        <v>HDR-WMO-LG</v>
      </c>
      <c r="L394" s="1" t="str">
        <f>_xlfn.XLOOKUP($J394, items_clean!$A:$A, items_clean!$C:$C, "")</f>
        <v>White Mocha</v>
      </c>
      <c r="M394" s="1" t="str">
        <f>_xlfn.XLOOKUP($J394, items_clean!$A:$A, items_clean!$D:$D, "")</f>
        <v>Hot Drinks</v>
      </c>
      <c r="N394" s="1" t="str">
        <f>_xlfn.XLOOKUP($J394, items_clean!$A:$A, items_clean!$E:$E, "")</f>
        <v>Large</v>
      </c>
      <c r="O394" s="3">
        <v>1</v>
      </c>
      <c r="P394" s="2">
        <f>_xlfn.XLOOKUP($J394, items_clean!$A:$A, items_clean!$F:$F, "")</f>
        <v>4.7</v>
      </c>
      <c r="Q394" s="2">
        <f t="shared" si="45"/>
        <v>4.7</v>
      </c>
      <c r="R394" s="7">
        <f>_xlfn.XLOOKUP(K394, recipe_cost!$A:$A, recipe_cost!$B:$B, "")</f>
        <v>0.56669999999999998</v>
      </c>
      <c r="S394" s="10">
        <f t="shared" si="46"/>
        <v>0.56669999999999998</v>
      </c>
      <c r="T394" s="10">
        <f t="shared" si="47"/>
        <v>4.1333000000000002</v>
      </c>
      <c r="U394" s="9">
        <f t="shared" si="48"/>
        <v>0.87942553191489359</v>
      </c>
    </row>
    <row r="395" spans="1:21" x14ac:dyDescent="0.3">
      <c r="A395" s="1">
        <v>394</v>
      </c>
      <c r="B395" s="1" t="s">
        <v>632</v>
      </c>
      <c r="C395" s="4">
        <v>45339.322222222225</v>
      </c>
      <c r="D395" s="5">
        <f t="shared" si="42"/>
        <v>45339</v>
      </c>
      <c r="E395" s="3">
        <f t="shared" si="43"/>
        <v>7</v>
      </c>
      <c r="F395" s="1" t="str" cm="1">
        <f t="array" ref="F395">_xlfn.IFS(
E395&lt;11,"Morning",
E395&lt;15,"Afternoon",
TRUE,"Evening"
)</f>
        <v>Morning</v>
      </c>
      <c r="G395" s="3" t="str">
        <f t="shared" si="44"/>
        <v>Sat</v>
      </c>
      <c r="H395" s="1" t="s">
        <v>478</v>
      </c>
      <c r="I395" s="1" t="s">
        <v>778</v>
      </c>
      <c r="J395" s="1" t="s">
        <v>128</v>
      </c>
      <c r="K395" s="1" t="str">
        <f>_xlfn.XLOOKUP($J395, items_clean!$A:$A, items_clean!$B:$B, "")</f>
        <v>CDR-CMO-LG</v>
      </c>
      <c r="L395" s="1" t="str">
        <f>_xlfn.XLOOKUP($J395, items_clean!$A:$A, items_clean!$C:$C, "")</f>
        <v>Cold Mocha</v>
      </c>
      <c r="M395" s="1" t="str">
        <f>_xlfn.XLOOKUP($J395, items_clean!$A:$A, items_clean!$D:$D, "")</f>
        <v>Cold Drinks</v>
      </c>
      <c r="N395" s="1" t="str">
        <f>_xlfn.XLOOKUP($J395, items_clean!$A:$A, items_clean!$E:$E, "")</f>
        <v>Large</v>
      </c>
      <c r="O395" s="3">
        <v>1</v>
      </c>
      <c r="P395" s="2">
        <f>_xlfn.XLOOKUP($J395, items_clean!$A:$A, items_clean!$F:$F, "")</f>
        <v>4.5999999999999996</v>
      </c>
      <c r="Q395" s="2">
        <f t="shared" si="45"/>
        <v>4.5999999999999996</v>
      </c>
      <c r="R395" s="7">
        <f>_xlfn.XLOOKUP(K395, recipe_cost!$A:$A, recipe_cost!$B:$B, "")</f>
        <v>0.56669999999999998</v>
      </c>
      <c r="S395" s="10">
        <f t="shared" si="46"/>
        <v>0.56669999999999998</v>
      </c>
      <c r="T395" s="10">
        <f t="shared" si="47"/>
        <v>4.0332999999999997</v>
      </c>
      <c r="U395" s="9">
        <f t="shared" si="48"/>
        <v>0.87680434782608696</v>
      </c>
    </row>
    <row r="396" spans="1:21" x14ac:dyDescent="0.3">
      <c r="A396" s="1">
        <v>395</v>
      </c>
      <c r="B396" s="1" t="s">
        <v>634</v>
      </c>
      <c r="C396" s="4">
        <v>45339.32916666667</v>
      </c>
      <c r="D396" s="5">
        <f t="shared" si="42"/>
        <v>45339</v>
      </c>
      <c r="E396" s="3">
        <f t="shared" si="43"/>
        <v>7</v>
      </c>
      <c r="F396" s="1" t="str" cm="1">
        <f t="array" ref="F396">_xlfn.IFS(
E396&lt;11,"Morning",
E396&lt;15,"Afternoon",
TRUE,"Evening"
)</f>
        <v>Morning</v>
      </c>
      <c r="G396" s="3" t="str">
        <f t="shared" si="44"/>
        <v>Sat</v>
      </c>
      <c r="H396" s="1" t="s">
        <v>635</v>
      </c>
      <c r="I396" s="1" t="s">
        <v>149</v>
      </c>
      <c r="J396" s="1" t="s">
        <v>102</v>
      </c>
      <c r="K396" s="1" t="str">
        <f>_xlfn.XLOOKUP($J396, items_clean!$A:$A, items_clean!$B:$B, "")</f>
        <v>HDR-LAT-MD</v>
      </c>
      <c r="L396" s="1" t="str">
        <f>_xlfn.XLOOKUP($J396, items_clean!$A:$A, items_clean!$C:$C, "")</f>
        <v>Latte</v>
      </c>
      <c r="M396" s="1" t="str">
        <f>_xlfn.XLOOKUP($J396, items_clean!$A:$A, items_clean!$D:$D, "")</f>
        <v>Hot Drinks</v>
      </c>
      <c r="N396" s="1" t="str">
        <f>_xlfn.XLOOKUP($J396, items_clean!$A:$A, items_clean!$E:$E, "")</f>
        <v>Medium</v>
      </c>
      <c r="O396" s="3">
        <v>1</v>
      </c>
      <c r="P396" s="2">
        <f>_xlfn.XLOOKUP($J396, items_clean!$A:$A, items_clean!$F:$F, "")</f>
        <v>3.45</v>
      </c>
      <c r="Q396" s="2">
        <f t="shared" si="45"/>
        <v>3.45</v>
      </c>
      <c r="R396" s="7">
        <f>_xlfn.XLOOKUP(K396, recipe_cost!$A:$A, recipe_cost!$B:$B, "")</f>
        <v>0.252</v>
      </c>
      <c r="S396" s="10">
        <f t="shared" si="46"/>
        <v>0.252</v>
      </c>
      <c r="T396" s="10">
        <f t="shared" si="47"/>
        <v>3.1980000000000004</v>
      </c>
      <c r="U396" s="9">
        <f t="shared" si="48"/>
        <v>0.92695652173913046</v>
      </c>
    </row>
    <row r="397" spans="1:21" x14ac:dyDescent="0.3">
      <c r="A397" s="1">
        <v>396</v>
      </c>
      <c r="B397" s="1" t="s">
        <v>636</v>
      </c>
      <c r="C397" s="4">
        <v>45339.332638888889</v>
      </c>
      <c r="D397" s="5">
        <f t="shared" si="42"/>
        <v>45339</v>
      </c>
      <c r="E397" s="3">
        <f t="shared" si="43"/>
        <v>7</v>
      </c>
      <c r="F397" s="1" t="str" cm="1">
        <f t="array" ref="F397">_xlfn.IFS(
E397&lt;11,"Morning",
E397&lt;15,"Afternoon",
TRUE,"Evening"
)</f>
        <v>Morning</v>
      </c>
      <c r="G397" s="3" t="str">
        <f t="shared" si="44"/>
        <v>Sat</v>
      </c>
      <c r="H397" s="1" t="s">
        <v>637</v>
      </c>
      <c r="I397" s="1" t="s">
        <v>146</v>
      </c>
      <c r="J397" s="1" t="s">
        <v>125</v>
      </c>
      <c r="K397" s="1" t="str">
        <f>_xlfn.XLOOKUP($J397, items_clean!$A:$A, items_clean!$B:$B, "")</f>
        <v>CDR-CCF-LG</v>
      </c>
      <c r="L397" s="1" t="str">
        <f>_xlfn.XLOOKUP($J397, items_clean!$A:$A, items_clean!$C:$C, "")</f>
        <v>Cold Coffee</v>
      </c>
      <c r="M397" s="1" t="str">
        <f>_xlfn.XLOOKUP($J397, items_clean!$A:$A, items_clean!$D:$D, "")</f>
        <v>Cold Drinks</v>
      </c>
      <c r="N397" s="1" t="str">
        <f>_xlfn.XLOOKUP($J397, items_clean!$A:$A, items_clean!$E:$E, "")</f>
        <v>Large</v>
      </c>
      <c r="O397" s="3">
        <v>1</v>
      </c>
      <c r="P397" s="2">
        <f>_xlfn.XLOOKUP($J397, items_clean!$A:$A, items_clean!$F:$F, "")</f>
        <v>3.75</v>
      </c>
      <c r="Q397" s="2">
        <f t="shared" si="45"/>
        <v>3.75</v>
      </c>
      <c r="R397" s="7">
        <f>_xlfn.XLOOKUP(K397, recipe_cost!$A:$A, recipe_cost!$B:$B, "")</f>
        <v>0.33599999999999997</v>
      </c>
      <c r="S397" s="10">
        <f t="shared" si="46"/>
        <v>0.33599999999999997</v>
      </c>
      <c r="T397" s="10">
        <f t="shared" si="47"/>
        <v>3.4140000000000001</v>
      </c>
      <c r="U397" s="9">
        <f t="shared" si="48"/>
        <v>0.91039999999999999</v>
      </c>
    </row>
    <row r="398" spans="1:21" x14ac:dyDescent="0.3">
      <c r="A398" s="1">
        <v>397</v>
      </c>
      <c r="B398" s="1" t="s">
        <v>636</v>
      </c>
      <c r="C398" s="4">
        <v>45339.332638888889</v>
      </c>
      <c r="D398" s="5">
        <f t="shared" si="42"/>
        <v>45339</v>
      </c>
      <c r="E398" s="3">
        <f t="shared" si="43"/>
        <v>7</v>
      </c>
      <c r="F398" s="1" t="str" cm="1">
        <f t="array" ref="F398">_xlfn.IFS(
E398&lt;11,"Morning",
E398&lt;15,"Afternoon",
TRUE,"Evening"
)</f>
        <v>Morning</v>
      </c>
      <c r="G398" s="3" t="str">
        <f t="shared" si="44"/>
        <v>Sat</v>
      </c>
      <c r="H398" s="1" t="s">
        <v>637</v>
      </c>
      <c r="I398" s="1" t="s">
        <v>778</v>
      </c>
      <c r="J398" s="1" t="s">
        <v>111</v>
      </c>
      <c r="K398" s="1" t="str">
        <f>_xlfn.XLOOKUP($J398, items_clean!$A:$A, items_clean!$B:$B, "")</f>
        <v>HDR-ESP</v>
      </c>
      <c r="L398" s="1" t="str">
        <f>_xlfn.XLOOKUP($J398, items_clean!$A:$A, items_clean!$C:$C, "")</f>
        <v>Espresso</v>
      </c>
      <c r="M398" s="1" t="str">
        <f>_xlfn.XLOOKUP($J398, items_clean!$A:$A, items_clean!$D:$D, "")</f>
        <v>Hot Drinks</v>
      </c>
      <c r="N398" s="1" t="str">
        <f>_xlfn.XLOOKUP($J398, items_clean!$A:$A, items_clean!$E:$E, "")</f>
        <v>N/A</v>
      </c>
      <c r="O398" s="3">
        <v>1</v>
      </c>
      <c r="P398" s="2">
        <f>_xlfn.XLOOKUP($J398, items_clean!$A:$A, items_clean!$F:$F, "")</f>
        <v>2.15</v>
      </c>
      <c r="Q398" s="2">
        <f t="shared" si="45"/>
        <v>2.15</v>
      </c>
      <c r="R398" s="7">
        <f>_xlfn.XLOOKUP(K398, recipe_cost!$A:$A, recipe_cost!$B:$B, "")</f>
        <v>9.6000000000000002E-2</v>
      </c>
      <c r="S398" s="10">
        <f t="shared" si="46"/>
        <v>9.6000000000000002E-2</v>
      </c>
      <c r="T398" s="10">
        <f t="shared" si="47"/>
        <v>2.0539999999999998</v>
      </c>
      <c r="U398" s="9">
        <f t="shared" si="48"/>
        <v>0.9553488372093023</v>
      </c>
    </row>
    <row r="399" spans="1:21" x14ac:dyDescent="0.3">
      <c r="A399" s="1">
        <v>398</v>
      </c>
      <c r="B399" s="1" t="s">
        <v>638</v>
      </c>
      <c r="C399" s="4">
        <v>45339.336111111108</v>
      </c>
      <c r="D399" s="5">
        <f t="shared" si="42"/>
        <v>45339</v>
      </c>
      <c r="E399" s="3">
        <f t="shared" si="43"/>
        <v>8</v>
      </c>
      <c r="F399" s="1" t="str" cm="1">
        <f t="array" ref="F399">_xlfn.IFS(
E399&lt;11,"Morning",
E399&lt;15,"Afternoon",
TRUE,"Evening"
)</f>
        <v>Morning</v>
      </c>
      <c r="G399" s="3" t="str">
        <f t="shared" si="44"/>
        <v>Sat</v>
      </c>
      <c r="H399" s="1" t="s">
        <v>399</v>
      </c>
      <c r="I399" s="1" t="s">
        <v>149</v>
      </c>
      <c r="J399" s="1" t="s">
        <v>116</v>
      </c>
      <c r="K399" s="1" t="str">
        <f>_xlfn.XLOOKUP($J399, items_clean!$A:$A, items_clean!$B:$B, "")</f>
        <v>HDR-WMO-MD</v>
      </c>
      <c r="L399" s="1" t="str">
        <f>_xlfn.XLOOKUP($J399, items_clean!$A:$A, items_clean!$C:$C, "")</f>
        <v>White Mocha</v>
      </c>
      <c r="M399" s="1" t="str">
        <f>_xlfn.XLOOKUP($J399, items_clean!$A:$A, items_clean!$D:$D, "")</f>
        <v>Hot Drinks</v>
      </c>
      <c r="N399" s="1" t="str">
        <f>_xlfn.XLOOKUP($J399, items_clean!$A:$A, items_clean!$E:$E, "")</f>
        <v>Medium</v>
      </c>
      <c r="O399" s="3">
        <v>1</v>
      </c>
      <c r="P399" s="2">
        <f>_xlfn.XLOOKUP($J399, items_clean!$A:$A, items_clean!$F:$F, "")</f>
        <v>4.5</v>
      </c>
      <c r="Q399" s="2">
        <f t="shared" si="45"/>
        <v>4.5</v>
      </c>
      <c r="R399" s="7">
        <f>_xlfn.XLOOKUP(K399, recipe_cost!$A:$A, recipe_cost!$B:$B, "")</f>
        <v>0.4098</v>
      </c>
      <c r="S399" s="10">
        <f t="shared" si="46"/>
        <v>0.4098</v>
      </c>
      <c r="T399" s="10">
        <f t="shared" si="47"/>
        <v>4.0902000000000003</v>
      </c>
      <c r="U399" s="9">
        <f t="shared" si="48"/>
        <v>0.90893333333333337</v>
      </c>
    </row>
    <row r="400" spans="1:21" x14ac:dyDescent="0.3">
      <c r="A400" s="1">
        <v>399</v>
      </c>
      <c r="B400" s="1" t="s">
        <v>639</v>
      </c>
      <c r="C400" s="4">
        <v>45339.340277777781</v>
      </c>
      <c r="D400" s="5">
        <f t="shared" si="42"/>
        <v>45339</v>
      </c>
      <c r="E400" s="3">
        <f t="shared" si="43"/>
        <v>8</v>
      </c>
      <c r="F400" s="1" t="str" cm="1">
        <f t="array" ref="F400">_xlfn.IFS(
E400&lt;11,"Morning",
E400&lt;15,"Afternoon",
TRUE,"Evening"
)</f>
        <v>Morning</v>
      </c>
      <c r="G400" s="3" t="str">
        <f t="shared" si="44"/>
        <v>Sat</v>
      </c>
      <c r="H400" s="1" t="s">
        <v>640</v>
      </c>
      <c r="I400" s="1" t="s">
        <v>146</v>
      </c>
      <c r="J400" s="1" t="s">
        <v>138</v>
      </c>
      <c r="K400" s="1" t="str">
        <f>_xlfn.XLOOKUP($J400, items_clean!$A:$A, items_clean!$B:$B, "")</f>
        <v>SNK-SSM</v>
      </c>
      <c r="L400" s="1" t="str">
        <f>_xlfn.XLOOKUP($J400, items_clean!$A:$A, items_clean!$C:$C, "")</f>
        <v>Sandwich Salami&amp;Mozzarella</v>
      </c>
      <c r="M400" s="1" t="str">
        <f>_xlfn.XLOOKUP($J400, items_clean!$A:$A, items_clean!$D:$D, "")</f>
        <v>Snacks</v>
      </c>
      <c r="N400" s="1" t="str">
        <f>_xlfn.XLOOKUP($J400, items_clean!$A:$A, items_clean!$E:$E, "")</f>
        <v>N/A</v>
      </c>
      <c r="O400" s="3">
        <v>1</v>
      </c>
      <c r="P400" s="2">
        <f>_xlfn.XLOOKUP($J400, items_clean!$A:$A, items_clean!$F:$F, "")</f>
        <v>5.5</v>
      </c>
      <c r="Q400" s="2">
        <f t="shared" si="45"/>
        <v>5.5</v>
      </c>
      <c r="R400" s="7">
        <f>_xlfn.XLOOKUP(K400, recipe_cost!$A:$A, recipe_cost!$B:$B, "")</f>
        <v>1.3120000000000001</v>
      </c>
      <c r="S400" s="10">
        <f t="shared" si="46"/>
        <v>1.3120000000000001</v>
      </c>
      <c r="T400" s="10">
        <f t="shared" si="47"/>
        <v>4.1879999999999997</v>
      </c>
      <c r="U400" s="9">
        <f t="shared" si="48"/>
        <v>0.76145454545454538</v>
      </c>
    </row>
    <row r="401" spans="1:21" x14ac:dyDescent="0.3">
      <c r="A401" s="1">
        <v>400</v>
      </c>
      <c r="B401" s="1" t="s">
        <v>641</v>
      </c>
      <c r="C401" s="4">
        <v>45339.34375</v>
      </c>
      <c r="D401" s="5">
        <f t="shared" si="42"/>
        <v>45339</v>
      </c>
      <c r="E401" s="3">
        <f t="shared" si="43"/>
        <v>8</v>
      </c>
      <c r="F401" s="1" t="str" cm="1">
        <f t="array" ref="F401">_xlfn.IFS(
E401&lt;11,"Morning",
E401&lt;15,"Afternoon",
TRUE,"Evening"
)</f>
        <v>Morning</v>
      </c>
      <c r="G401" s="3" t="str">
        <f t="shared" si="44"/>
        <v>Sat</v>
      </c>
      <c r="H401" s="1" t="s">
        <v>642</v>
      </c>
      <c r="I401" s="1" t="s">
        <v>149</v>
      </c>
      <c r="J401" s="1" t="s">
        <v>108</v>
      </c>
      <c r="K401" s="1" t="str">
        <f>_xlfn.XLOOKUP($J401, items_clean!$A:$A, items_clean!$B:$B, "")</f>
        <v>HDR-CRM-MD</v>
      </c>
      <c r="L401" s="1" t="str">
        <f>_xlfn.XLOOKUP($J401, items_clean!$A:$A, items_clean!$C:$C, "")</f>
        <v>Caramel Macchiato</v>
      </c>
      <c r="M401" s="1" t="str">
        <f>_xlfn.XLOOKUP($J401, items_clean!$A:$A, items_clean!$D:$D, "")</f>
        <v>Hot Drinks</v>
      </c>
      <c r="N401" s="1" t="str">
        <f>_xlfn.XLOOKUP($J401, items_clean!$A:$A, items_clean!$E:$E, "")</f>
        <v>Medium</v>
      </c>
      <c r="O401" s="3">
        <v>1</v>
      </c>
      <c r="P401" s="2">
        <f>_xlfn.XLOOKUP($J401, items_clean!$A:$A, items_clean!$F:$F, "")</f>
        <v>4.2</v>
      </c>
      <c r="Q401" s="2">
        <f t="shared" si="45"/>
        <v>4.2</v>
      </c>
      <c r="R401" s="7">
        <f>_xlfn.XLOOKUP(K401, recipe_cost!$A:$A, recipe_cost!$B:$B, "")</f>
        <v>0.4098</v>
      </c>
      <c r="S401" s="10">
        <f t="shared" si="46"/>
        <v>0.4098</v>
      </c>
      <c r="T401" s="10">
        <f t="shared" si="47"/>
        <v>3.7902</v>
      </c>
      <c r="U401" s="9">
        <f t="shared" si="48"/>
        <v>0.90242857142857136</v>
      </c>
    </row>
    <row r="402" spans="1:21" x14ac:dyDescent="0.3">
      <c r="A402" s="1">
        <v>401</v>
      </c>
      <c r="B402" s="1" t="s">
        <v>641</v>
      </c>
      <c r="C402" s="4">
        <v>45339.34375</v>
      </c>
      <c r="D402" s="5">
        <f t="shared" si="42"/>
        <v>45339</v>
      </c>
      <c r="E402" s="3">
        <f t="shared" si="43"/>
        <v>8</v>
      </c>
      <c r="F402" s="1" t="str" cm="1">
        <f t="array" ref="F402">_xlfn.IFS(
E402&lt;11,"Morning",
E402&lt;15,"Afternoon",
TRUE,"Evening"
)</f>
        <v>Morning</v>
      </c>
      <c r="G402" s="3" t="str">
        <f t="shared" si="44"/>
        <v>Sat</v>
      </c>
      <c r="H402" s="1" t="s">
        <v>642</v>
      </c>
      <c r="I402" s="1" t="s">
        <v>778</v>
      </c>
      <c r="J402" s="1" t="s">
        <v>132</v>
      </c>
      <c r="K402" s="1" t="str">
        <f>_xlfn.XLOOKUP($J402, items_clean!$A:$A, items_clean!$B:$B, "")</f>
        <v>CDR-LMN-MD</v>
      </c>
      <c r="L402" s="1" t="str">
        <f>_xlfn.XLOOKUP($J402, items_clean!$A:$A, items_clean!$C:$C, "")</f>
        <v>Lemonade</v>
      </c>
      <c r="M402" s="1" t="str">
        <f>_xlfn.XLOOKUP($J402, items_clean!$A:$A, items_clean!$D:$D, "")</f>
        <v>Cold Drinks</v>
      </c>
      <c r="N402" s="1" t="str">
        <f>_xlfn.XLOOKUP($J402, items_clean!$A:$A, items_clean!$E:$E, "")</f>
        <v>Medium</v>
      </c>
      <c r="O402" s="3">
        <v>1</v>
      </c>
      <c r="P402" s="2">
        <f>_xlfn.XLOOKUP($J402, items_clean!$A:$A, items_clean!$F:$F, "")</f>
        <v>3.35</v>
      </c>
      <c r="Q402" s="2">
        <f t="shared" si="45"/>
        <v>3.35</v>
      </c>
      <c r="R402" s="7">
        <f>_xlfn.XLOOKUP(K402, recipe_cost!$A:$A, recipe_cost!$B:$B, "")</f>
        <v>0.34499999999999997</v>
      </c>
      <c r="S402" s="10">
        <f t="shared" si="46"/>
        <v>0.34499999999999997</v>
      </c>
      <c r="T402" s="10">
        <f t="shared" si="47"/>
        <v>3.0049999999999999</v>
      </c>
      <c r="U402" s="9">
        <f t="shared" si="48"/>
        <v>0.89701492537313432</v>
      </c>
    </row>
    <row r="403" spans="1:21" x14ac:dyDescent="0.3">
      <c r="A403" s="1">
        <v>402</v>
      </c>
      <c r="B403" s="1" t="s">
        <v>643</v>
      </c>
      <c r="C403" s="4">
        <v>45339.347222222219</v>
      </c>
      <c r="D403" s="5">
        <f t="shared" si="42"/>
        <v>45339</v>
      </c>
      <c r="E403" s="3">
        <f t="shared" si="43"/>
        <v>8</v>
      </c>
      <c r="F403" s="1" t="str" cm="1">
        <f t="array" ref="F403">_xlfn.IFS(
E403&lt;11,"Morning",
E403&lt;15,"Afternoon",
TRUE,"Evening"
)</f>
        <v>Morning</v>
      </c>
      <c r="G403" s="3" t="str">
        <f t="shared" si="44"/>
        <v>Sat</v>
      </c>
      <c r="H403" s="1" t="s">
        <v>644</v>
      </c>
      <c r="I403" s="1" t="s">
        <v>146</v>
      </c>
      <c r="J403" s="1" t="s">
        <v>115</v>
      </c>
      <c r="K403" s="1" t="str">
        <f>_xlfn.XLOOKUP($J403, items_clean!$A:$A, items_clean!$B:$B, "")</f>
        <v>HDR-MOC-LG</v>
      </c>
      <c r="L403" s="1" t="str">
        <f>_xlfn.XLOOKUP($J403, items_clean!$A:$A, items_clean!$C:$C, "")</f>
        <v>Mocha</v>
      </c>
      <c r="M403" s="1" t="str">
        <f>_xlfn.XLOOKUP($J403, items_clean!$A:$A, items_clean!$D:$D, "")</f>
        <v>Hot Drinks</v>
      </c>
      <c r="N403" s="1" t="str">
        <f>_xlfn.XLOOKUP($J403, items_clean!$A:$A, items_clean!$E:$E, "")</f>
        <v>Large</v>
      </c>
      <c r="O403" s="3">
        <v>1</v>
      </c>
      <c r="P403" s="2">
        <f>_xlfn.XLOOKUP($J403, items_clean!$A:$A, items_clean!$F:$F, "")</f>
        <v>4.5999999999999996</v>
      </c>
      <c r="Q403" s="2">
        <f t="shared" si="45"/>
        <v>4.5999999999999996</v>
      </c>
      <c r="R403" s="7">
        <f>_xlfn.XLOOKUP(K403, recipe_cost!$A:$A, recipe_cost!$B:$B, "")</f>
        <v>0.56669999999999998</v>
      </c>
      <c r="S403" s="10">
        <f t="shared" si="46"/>
        <v>0.56669999999999998</v>
      </c>
      <c r="T403" s="10">
        <f t="shared" si="47"/>
        <v>4.0332999999999997</v>
      </c>
      <c r="U403" s="9">
        <f t="shared" si="48"/>
        <v>0.87680434782608696</v>
      </c>
    </row>
    <row r="404" spans="1:21" x14ac:dyDescent="0.3">
      <c r="A404" s="1">
        <v>403</v>
      </c>
      <c r="B404" s="1" t="s">
        <v>646</v>
      </c>
      <c r="C404" s="4">
        <v>45339.354166666664</v>
      </c>
      <c r="D404" s="5">
        <f t="shared" si="42"/>
        <v>45339</v>
      </c>
      <c r="E404" s="3">
        <f t="shared" si="43"/>
        <v>8</v>
      </c>
      <c r="F404" s="1" t="str" cm="1">
        <f t="array" ref="F404">_xlfn.IFS(
E404&lt;11,"Morning",
E404&lt;15,"Afternoon",
TRUE,"Evening"
)</f>
        <v>Morning</v>
      </c>
      <c r="G404" s="3" t="str">
        <f t="shared" si="44"/>
        <v>Sat</v>
      </c>
      <c r="H404" s="1" t="s">
        <v>647</v>
      </c>
      <c r="I404" s="1" t="s">
        <v>146</v>
      </c>
      <c r="J404" s="1" t="s">
        <v>119</v>
      </c>
      <c r="K404" s="1" t="str">
        <f>_xlfn.XLOOKUP($J404, items_clean!$A:$A, items_clean!$B:$B, "")</f>
        <v>HDR-HCH-MD</v>
      </c>
      <c r="L404" s="1" t="str">
        <f>_xlfn.XLOOKUP($J404, items_clean!$A:$A, items_clean!$C:$C, "")</f>
        <v>Hot Chocolate</v>
      </c>
      <c r="M404" s="1" t="str">
        <f>_xlfn.XLOOKUP($J404, items_clean!$A:$A, items_clean!$D:$D, "")</f>
        <v>Hot Drinks</v>
      </c>
      <c r="N404" s="1" t="str">
        <f>_xlfn.XLOOKUP($J404, items_clean!$A:$A, items_clean!$E:$E, "")</f>
        <v>Medium</v>
      </c>
      <c r="O404" s="3">
        <v>1</v>
      </c>
      <c r="P404" s="2">
        <f>_xlfn.XLOOKUP($J404, items_clean!$A:$A, items_clean!$F:$F, "")</f>
        <v>4.2</v>
      </c>
      <c r="Q404" s="2">
        <f t="shared" si="45"/>
        <v>4.2</v>
      </c>
      <c r="R404" s="7">
        <f>_xlfn.XLOOKUP(K404, recipe_cost!$A:$A, recipe_cost!$B:$B, "")</f>
        <v>1.0509999999999999</v>
      </c>
      <c r="S404" s="10">
        <f t="shared" si="46"/>
        <v>1.0509999999999999</v>
      </c>
      <c r="T404" s="10">
        <f t="shared" si="47"/>
        <v>3.149</v>
      </c>
      <c r="U404" s="9">
        <f t="shared" si="48"/>
        <v>0.74976190476190474</v>
      </c>
    </row>
    <row r="405" spans="1:21" x14ac:dyDescent="0.3">
      <c r="A405" s="1">
        <v>404</v>
      </c>
      <c r="B405" s="1" t="s">
        <v>646</v>
      </c>
      <c r="C405" s="4">
        <v>45339.354166666664</v>
      </c>
      <c r="D405" s="5">
        <f t="shared" si="42"/>
        <v>45339</v>
      </c>
      <c r="E405" s="3">
        <f t="shared" si="43"/>
        <v>8</v>
      </c>
      <c r="F405" s="1" t="str" cm="1">
        <f t="array" ref="F405">_xlfn.IFS(
E405&lt;11,"Morning",
E405&lt;15,"Afternoon",
TRUE,"Evening"
)</f>
        <v>Morning</v>
      </c>
      <c r="G405" s="3" t="str">
        <f t="shared" si="44"/>
        <v>Sat</v>
      </c>
      <c r="H405" s="1" t="s">
        <v>647</v>
      </c>
      <c r="I405" s="1" t="s">
        <v>778</v>
      </c>
      <c r="J405" s="1" t="s">
        <v>129</v>
      </c>
      <c r="K405" s="1" t="str">
        <f>_xlfn.XLOOKUP($J405, items_clean!$A:$A, items_clean!$B:$B, "")</f>
        <v>CDR-ICT-MD</v>
      </c>
      <c r="L405" s="1" t="str">
        <f>_xlfn.XLOOKUP($J405, items_clean!$A:$A, items_clean!$C:$C, "")</f>
        <v>Iced Tea</v>
      </c>
      <c r="M405" s="1" t="str">
        <f>_xlfn.XLOOKUP($J405, items_clean!$A:$A, items_clean!$D:$D, "")</f>
        <v>Cold Drinks</v>
      </c>
      <c r="N405" s="1" t="str">
        <f>_xlfn.XLOOKUP($J405, items_clean!$A:$A, items_clean!$E:$E, "")</f>
        <v>Medium</v>
      </c>
      <c r="O405" s="3">
        <v>1</v>
      </c>
      <c r="P405" s="2">
        <f>_xlfn.XLOOKUP($J405, items_clean!$A:$A, items_clean!$F:$F, "")</f>
        <v>3.25</v>
      </c>
      <c r="Q405" s="2">
        <f t="shared" si="45"/>
        <v>3.25</v>
      </c>
      <c r="R405" s="7">
        <f>_xlfn.XLOOKUP(K405, recipe_cost!$A:$A, recipe_cost!$B:$B, "")</f>
        <v>0.19</v>
      </c>
      <c r="S405" s="10">
        <f t="shared" si="46"/>
        <v>0.19</v>
      </c>
      <c r="T405" s="10">
        <f t="shared" si="47"/>
        <v>3.06</v>
      </c>
      <c r="U405" s="9">
        <f t="shared" si="48"/>
        <v>0.94153846153846155</v>
      </c>
    </row>
    <row r="406" spans="1:21" x14ac:dyDescent="0.3">
      <c r="A406" s="1">
        <v>405</v>
      </c>
      <c r="B406" s="1" t="s">
        <v>648</v>
      </c>
      <c r="C406" s="4">
        <v>45339.357638888891</v>
      </c>
      <c r="D406" s="5">
        <f t="shared" si="42"/>
        <v>45339</v>
      </c>
      <c r="E406" s="3">
        <f t="shared" si="43"/>
        <v>8</v>
      </c>
      <c r="F406" s="1" t="str" cm="1">
        <f t="array" ref="F406">_xlfn.IFS(
E406&lt;11,"Morning",
E406&lt;15,"Afternoon",
TRUE,"Evening"
)</f>
        <v>Morning</v>
      </c>
      <c r="G406" s="3" t="str">
        <f t="shared" si="44"/>
        <v>Sat</v>
      </c>
      <c r="H406" s="1" t="s">
        <v>649</v>
      </c>
      <c r="I406" s="1" t="s">
        <v>149</v>
      </c>
      <c r="J406" s="1" t="s">
        <v>100</v>
      </c>
      <c r="K406" s="1" t="str">
        <f>_xlfn.XLOOKUP($J406, items_clean!$A:$A, items_clean!$B:$B, "")</f>
        <v>HDR-CAP-LG</v>
      </c>
      <c r="L406" s="1" t="str">
        <f>_xlfn.XLOOKUP($J406, items_clean!$A:$A, items_clean!$C:$C, "")</f>
        <v>Cappuccino</v>
      </c>
      <c r="M406" s="1" t="str">
        <f>_xlfn.XLOOKUP($J406, items_clean!$A:$A, items_clean!$D:$D, "")</f>
        <v>Hot Drinks</v>
      </c>
      <c r="N406" s="1" t="str">
        <f>_xlfn.XLOOKUP($J406, items_clean!$A:$A, items_clean!$E:$E, "")</f>
        <v>Large</v>
      </c>
      <c r="O406" s="3">
        <v>1</v>
      </c>
      <c r="P406" s="2">
        <f>_xlfn.XLOOKUP($J406, items_clean!$A:$A, items_clean!$F:$F, "")</f>
        <v>3.75</v>
      </c>
      <c r="Q406" s="2">
        <f t="shared" si="45"/>
        <v>3.75</v>
      </c>
      <c r="R406" s="7">
        <f>_xlfn.XLOOKUP(K406, recipe_cost!$A:$A, recipe_cost!$B:$B, "")</f>
        <v>0.33599999999999997</v>
      </c>
      <c r="S406" s="10">
        <f t="shared" si="46"/>
        <v>0.33599999999999997</v>
      </c>
      <c r="T406" s="10">
        <f t="shared" si="47"/>
        <v>3.4140000000000001</v>
      </c>
      <c r="U406" s="9">
        <f t="shared" si="48"/>
        <v>0.91039999999999999</v>
      </c>
    </row>
    <row r="407" spans="1:21" x14ac:dyDescent="0.3">
      <c r="A407" s="1">
        <v>406</v>
      </c>
      <c r="B407" s="1" t="s">
        <v>652</v>
      </c>
      <c r="C407" s="4">
        <v>45339.364583333336</v>
      </c>
      <c r="D407" s="5">
        <f t="shared" si="42"/>
        <v>45339</v>
      </c>
      <c r="E407" s="3">
        <f t="shared" si="43"/>
        <v>8</v>
      </c>
      <c r="F407" s="1" t="str" cm="1">
        <f t="array" ref="F407">_xlfn.IFS(
E407&lt;11,"Morning",
E407&lt;15,"Afternoon",
TRUE,"Evening"
)</f>
        <v>Morning</v>
      </c>
      <c r="G407" s="3" t="str">
        <f t="shared" si="44"/>
        <v>Sat</v>
      </c>
      <c r="H407" s="1" t="s">
        <v>610</v>
      </c>
      <c r="I407" s="1" t="s">
        <v>149</v>
      </c>
      <c r="J407" s="1" t="s">
        <v>122</v>
      </c>
      <c r="K407" s="1" t="str">
        <f>_xlfn.XLOOKUP($J407, items_clean!$A:$A, items_clean!$B:$B, "")</f>
        <v>CDR-CCF-MD</v>
      </c>
      <c r="L407" s="1" t="str">
        <f>_xlfn.XLOOKUP($J407, items_clean!$A:$A, items_clean!$C:$C, "")</f>
        <v>Cold Coffee</v>
      </c>
      <c r="M407" s="1" t="str">
        <f>_xlfn.XLOOKUP($J407, items_clean!$A:$A, items_clean!$D:$D, "")</f>
        <v>Cold Drinks</v>
      </c>
      <c r="N407" s="1" t="str">
        <f>_xlfn.XLOOKUP($J407, items_clean!$A:$A, items_clean!$E:$E, "")</f>
        <v>Medium</v>
      </c>
      <c r="O407" s="3">
        <v>1</v>
      </c>
      <c r="P407" s="2">
        <f>_xlfn.XLOOKUP($J407, items_clean!$A:$A, items_clean!$F:$F, "")</f>
        <v>3.45</v>
      </c>
      <c r="Q407" s="2">
        <f t="shared" si="45"/>
        <v>3.45</v>
      </c>
      <c r="R407" s="7">
        <f>_xlfn.XLOOKUP(K407, recipe_cost!$A:$A, recipe_cost!$B:$B, "")</f>
        <v>0.252</v>
      </c>
      <c r="S407" s="10">
        <f t="shared" si="46"/>
        <v>0.252</v>
      </c>
      <c r="T407" s="10">
        <f t="shared" si="47"/>
        <v>3.1980000000000004</v>
      </c>
      <c r="U407" s="9">
        <f t="shared" si="48"/>
        <v>0.92695652173913046</v>
      </c>
    </row>
    <row r="408" spans="1:21" x14ac:dyDescent="0.3">
      <c r="A408" s="1">
        <v>407</v>
      </c>
      <c r="B408" s="1" t="s">
        <v>653</v>
      </c>
      <c r="C408" s="4">
        <v>45339.368750000001</v>
      </c>
      <c r="D408" s="5">
        <f t="shared" si="42"/>
        <v>45339</v>
      </c>
      <c r="E408" s="3">
        <f t="shared" si="43"/>
        <v>8</v>
      </c>
      <c r="F408" s="1" t="str" cm="1">
        <f t="array" ref="F408">_xlfn.IFS(
E408&lt;11,"Morning",
E408&lt;15,"Afternoon",
TRUE,"Evening"
)</f>
        <v>Morning</v>
      </c>
      <c r="G408" s="3" t="str">
        <f t="shared" si="44"/>
        <v>Sat</v>
      </c>
      <c r="H408" s="1" t="s">
        <v>571</v>
      </c>
      <c r="I408" s="1" t="s">
        <v>146</v>
      </c>
      <c r="J408" s="1" t="s">
        <v>110</v>
      </c>
      <c r="K408" s="1" t="str">
        <f>_xlfn.XLOOKUP($J408, items_clean!$A:$A, items_clean!$B:$B, "")</f>
        <v>HDR-CRM-LG</v>
      </c>
      <c r="L408" s="1" t="str">
        <f>_xlfn.XLOOKUP($J408, items_clean!$A:$A, items_clean!$C:$C, "")</f>
        <v>Caramel Macchiato</v>
      </c>
      <c r="M408" s="1" t="str">
        <f>_xlfn.XLOOKUP($J408, items_clean!$A:$A, items_clean!$D:$D, "")</f>
        <v>Hot Drinks</v>
      </c>
      <c r="N408" s="1" t="str">
        <f>_xlfn.XLOOKUP($J408, items_clean!$A:$A, items_clean!$E:$E, "")</f>
        <v>Large</v>
      </c>
      <c r="O408" s="3">
        <v>1</v>
      </c>
      <c r="P408" s="2">
        <f>_xlfn.XLOOKUP($J408, items_clean!$A:$A, items_clean!$F:$F, "")</f>
        <v>4.5999999999999996</v>
      </c>
      <c r="Q408" s="2">
        <f t="shared" si="45"/>
        <v>4.5999999999999996</v>
      </c>
      <c r="R408" s="7">
        <f>_xlfn.XLOOKUP(K408, recipe_cost!$A:$A, recipe_cost!$B:$B, "")</f>
        <v>0.56669999999999998</v>
      </c>
      <c r="S408" s="10">
        <f t="shared" si="46"/>
        <v>0.56669999999999998</v>
      </c>
      <c r="T408" s="10">
        <f t="shared" si="47"/>
        <v>4.0332999999999997</v>
      </c>
      <c r="U408" s="9">
        <f t="shared" si="48"/>
        <v>0.87680434782608696</v>
      </c>
    </row>
    <row r="409" spans="1:21" x14ac:dyDescent="0.3">
      <c r="A409" s="1">
        <v>408</v>
      </c>
      <c r="B409" s="1" t="s">
        <v>653</v>
      </c>
      <c r="C409" s="4">
        <v>45339.368750000001</v>
      </c>
      <c r="D409" s="5">
        <f t="shared" si="42"/>
        <v>45339</v>
      </c>
      <c r="E409" s="3">
        <f t="shared" si="43"/>
        <v>8</v>
      </c>
      <c r="F409" s="1" t="str" cm="1">
        <f t="array" ref="F409">_xlfn.IFS(
E409&lt;11,"Morning",
E409&lt;15,"Afternoon",
TRUE,"Evening"
)</f>
        <v>Morning</v>
      </c>
      <c r="G409" s="3" t="str">
        <f t="shared" si="44"/>
        <v>Sat</v>
      </c>
      <c r="H409" s="1" t="s">
        <v>571</v>
      </c>
      <c r="I409" s="1" t="s">
        <v>778</v>
      </c>
      <c r="J409" s="1" t="s">
        <v>135</v>
      </c>
      <c r="K409" s="1" t="str">
        <f>_xlfn.XLOOKUP($J409, items_clean!$A:$A, items_clean!$B:$B, "")</f>
        <v>SNK-SHC</v>
      </c>
      <c r="L409" s="1" t="str">
        <f>_xlfn.XLOOKUP($J409, items_clean!$A:$A, items_clean!$C:$C, "")</f>
        <v>Sandwich Ham&amp;Cheese</v>
      </c>
      <c r="M409" s="1" t="str">
        <f>_xlfn.XLOOKUP($J409, items_clean!$A:$A, items_clean!$D:$D, "")</f>
        <v>Snacks</v>
      </c>
      <c r="N409" s="1" t="str">
        <f>_xlfn.XLOOKUP($J409, items_clean!$A:$A, items_clean!$E:$E, "")</f>
        <v>N/A</v>
      </c>
      <c r="O409" s="3">
        <v>1</v>
      </c>
      <c r="P409" s="2">
        <f>_xlfn.XLOOKUP($J409, items_clean!$A:$A, items_clean!$F:$F, "")</f>
        <v>5.6</v>
      </c>
      <c r="Q409" s="2">
        <f t="shared" si="45"/>
        <v>5.6</v>
      </c>
      <c r="R409" s="7">
        <f>_xlfn.XLOOKUP(K409, recipe_cost!$A:$A, recipe_cost!$B:$B, "")</f>
        <v>2.0105</v>
      </c>
      <c r="S409" s="10">
        <f t="shared" si="46"/>
        <v>2.0105</v>
      </c>
      <c r="T409" s="10">
        <f t="shared" si="47"/>
        <v>3.5894999999999997</v>
      </c>
      <c r="U409" s="9">
        <f t="shared" si="48"/>
        <v>0.64098214285714283</v>
      </c>
    </row>
    <row r="410" spans="1:21" x14ac:dyDescent="0.3">
      <c r="A410" s="1">
        <v>409</v>
      </c>
      <c r="B410" s="1" t="s">
        <v>654</v>
      </c>
      <c r="C410" s="4">
        <v>45339.37222222222</v>
      </c>
      <c r="D410" s="5">
        <f t="shared" si="42"/>
        <v>45339</v>
      </c>
      <c r="E410" s="3">
        <f t="shared" si="43"/>
        <v>8</v>
      </c>
      <c r="F410" s="1" t="str" cm="1">
        <f t="array" ref="F410">_xlfn.IFS(
E410&lt;11,"Morning",
E410&lt;15,"Afternoon",
TRUE,"Evening"
)</f>
        <v>Morning</v>
      </c>
      <c r="G410" s="3" t="str">
        <f t="shared" si="44"/>
        <v>Sat</v>
      </c>
      <c r="H410" s="1" t="s">
        <v>655</v>
      </c>
      <c r="I410" s="1" t="s">
        <v>149</v>
      </c>
      <c r="J410" s="1" t="s">
        <v>96</v>
      </c>
      <c r="K410" s="1" t="str">
        <f>_xlfn.XLOOKUP($J410, items_clean!$A:$A, items_clean!$B:$B, "")</f>
        <v>HDR-CAP-MD</v>
      </c>
      <c r="L410" s="1" t="str">
        <f>_xlfn.XLOOKUP($J410, items_clean!$A:$A, items_clean!$C:$C, "")</f>
        <v>Cappuccino</v>
      </c>
      <c r="M410" s="1" t="str">
        <f>_xlfn.XLOOKUP($J410, items_clean!$A:$A, items_clean!$D:$D, "")</f>
        <v>Hot Drinks</v>
      </c>
      <c r="N410" s="1" t="str">
        <f>_xlfn.XLOOKUP($J410, items_clean!$A:$A, items_clean!$E:$E, "")</f>
        <v>Medium</v>
      </c>
      <c r="O410" s="3">
        <v>1</v>
      </c>
      <c r="P410" s="2">
        <f>_xlfn.XLOOKUP($J410, items_clean!$A:$A, items_clean!$F:$F, "")</f>
        <v>3.45</v>
      </c>
      <c r="Q410" s="2">
        <f t="shared" si="45"/>
        <v>3.45</v>
      </c>
      <c r="R410" s="7">
        <f>_xlfn.XLOOKUP(K410, recipe_cost!$A:$A, recipe_cost!$B:$B, "")</f>
        <v>0.252</v>
      </c>
      <c r="S410" s="10">
        <f t="shared" si="46"/>
        <v>0.252</v>
      </c>
      <c r="T410" s="10">
        <f t="shared" si="47"/>
        <v>3.1980000000000004</v>
      </c>
      <c r="U410" s="9">
        <f t="shared" si="48"/>
        <v>0.92695652173913046</v>
      </c>
    </row>
    <row r="411" spans="1:21" x14ac:dyDescent="0.3">
      <c r="A411" s="1">
        <v>410</v>
      </c>
      <c r="B411" s="1" t="s">
        <v>656</v>
      </c>
      <c r="C411" s="4">
        <v>45339.375694444447</v>
      </c>
      <c r="D411" s="5">
        <f t="shared" si="42"/>
        <v>45339</v>
      </c>
      <c r="E411" s="3">
        <f t="shared" si="43"/>
        <v>9</v>
      </c>
      <c r="F411" s="1" t="str" cm="1">
        <f t="array" ref="F411">_xlfn.IFS(
E411&lt;11,"Morning",
E411&lt;15,"Afternoon",
TRUE,"Evening"
)</f>
        <v>Morning</v>
      </c>
      <c r="G411" s="3" t="str">
        <f t="shared" si="44"/>
        <v>Sat</v>
      </c>
      <c r="H411" s="1" t="s">
        <v>657</v>
      </c>
      <c r="I411" s="1" t="s">
        <v>146</v>
      </c>
      <c r="J411" s="1" t="s">
        <v>126</v>
      </c>
      <c r="K411" s="1" t="str">
        <f>_xlfn.XLOOKUP($J411, items_clean!$A:$A, items_clean!$B:$B, "")</f>
        <v>CDR-CMO-MD</v>
      </c>
      <c r="L411" s="1" t="str">
        <f>_xlfn.XLOOKUP($J411, items_clean!$A:$A, items_clean!$C:$C, "")</f>
        <v>Cold Mocha</v>
      </c>
      <c r="M411" s="1" t="str">
        <f>_xlfn.XLOOKUP($J411, items_clean!$A:$A, items_clean!$D:$D, "")</f>
        <v>Cold Drinks</v>
      </c>
      <c r="N411" s="1" t="str">
        <f>_xlfn.XLOOKUP($J411, items_clean!$A:$A, items_clean!$E:$E, "")</f>
        <v>Medium</v>
      </c>
      <c r="O411" s="3">
        <v>1</v>
      </c>
      <c r="P411" s="2">
        <f>_xlfn.XLOOKUP($J411, items_clean!$A:$A, items_clean!$F:$F, "")</f>
        <v>4</v>
      </c>
      <c r="Q411" s="2">
        <f t="shared" si="45"/>
        <v>4</v>
      </c>
      <c r="R411" s="7">
        <f>_xlfn.XLOOKUP(K411, recipe_cost!$A:$A, recipe_cost!$B:$B, "")</f>
        <v>0.4098</v>
      </c>
      <c r="S411" s="10">
        <f t="shared" si="46"/>
        <v>0.4098</v>
      </c>
      <c r="T411" s="10">
        <f t="shared" si="47"/>
        <v>3.5901999999999998</v>
      </c>
      <c r="U411" s="9">
        <f t="shared" si="48"/>
        <v>0.89754999999999996</v>
      </c>
    </row>
    <row r="412" spans="1:21" x14ac:dyDescent="0.3">
      <c r="A412" s="1">
        <v>411</v>
      </c>
      <c r="B412" s="1" t="s">
        <v>658</v>
      </c>
      <c r="C412" s="4">
        <v>45339.379166666666</v>
      </c>
      <c r="D412" s="5">
        <f t="shared" si="42"/>
        <v>45339</v>
      </c>
      <c r="E412" s="3">
        <f t="shared" si="43"/>
        <v>9</v>
      </c>
      <c r="F412" s="1" t="str" cm="1">
        <f t="array" ref="F412">_xlfn.IFS(
E412&lt;11,"Morning",
E412&lt;15,"Afternoon",
TRUE,"Evening"
)</f>
        <v>Morning</v>
      </c>
      <c r="G412" s="3" t="str">
        <f t="shared" si="44"/>
        <v>Sat</v>
      </c>
      <c r="H412" s="1" t="s">
        <v>659</v>
      </c>
      <c r="I412" s="1" t="s">
        <v>149</v>
      </c>
      <c r="J412" s="1" t="s">
        <v>104</v>
      </c>
      <c r="K412" s="1" t="str">
        <f>_xlfn.XLOOKUP($J412, items_clean!$A:$A, items_clean!$B:$B, "")</f>
        <v>HDR-LAT-LG</v>
      </c>
      <c r="L412" s="1" t="str">
        <f>_xlfn.XLOOKUP($J412, items_clean!$A:$A, items_clean!$C:$C, "")</f>
        <v>Latte</v>
      </c>
      <c r="M412" s="1" t="str">
        <f>_xlfn.XLOOKUP($J412, items_clean!$A:$A, items_clean!$D:$D, "")</f>
        <v>Hot Drinks</v>
      </c>
      <c r="N412" s="1" t="str">
        <f>_xlfn.XLOOKUP($J412, items_clean!$A:$A, items_clean!$E:$E, "")</f>
        <v>Large</v>
      </c>
      <c r="O412" s="3">
        <v>1</v>
      </c>
      <c r="P412" s="2">
        <f>_xlfn.XLOOKUP($J412, items_clean!$A:$A, items_clean!$F:$F, "")</f>
        <v>3.75</v>
      </c>
      <c r="Q412" s="2">
        <f t="shared" si="45"/>
        <v>3.75</v>
      </c>
      <c r="R412" s="7">
        <f>_xlfn.XLOOKUP(K412, recipe_cost!$A:$A, recipe_cost!$B:$B, "")</f>
        <v>0.33599999999999997</v>
      </c>
      <c r="S412" s="10">
        <f t="shared" si="46"/>
        <v>0.33599999999999997</v>
      </c>
      <c r="T412" s="10">
        <f t="shared" si="47"/>
        <v>3.4140000000000001</v>
      </c>
      <c r="U412" s="9">
        <f t="shared" si="48"/>
        <v>0.91039999999999999</v>
      </c>
    </row>
    <row r="413" spans="1:21" x14ac:dyDescent="0.3">
      <c r="A413" s="1">
        <v>412</v>
      </c>
      <c r="B413" s="1" t="s">
        <v>658</v>
      </c>
      <c r="C413" s="4">
        <v>45339.379166666666</v>
      </c>
      <c r="D413" s="5">
        <f t="shared" si="42"/>
        <v>45339</v>
      </c>
      <c r="E413" s="3">
        <f t="shared" si="43"/>
        <v>9</v>
      </c>
      <c r="F413" s="1" t="str" cm="1">
        <f t="array" ref="F413">_xlfn.IFS(
E413&lt;11,"Morning",
E413&lt;15,"Afternoon",
TRUE,"Evening"
)</f>
        <v>Morning</v>
      </c>
      <c r="G413" s="3" t="str">
        <f t="shared" si="44"/>
        <v>Sat</v>
      </c>
      <c r="H413" s="1" t="s">
        <v>659</v>
      </c>
      <c r="I413" s="1" t="s">
        <v>778</v>
      </c>
      <c r="J413" s="1" t="s">
        <v>131</v>
      </c>
      <c r="K413" s="1" t="str">
        <f>_xlfn.XLOOKUP($J413, items_clean!$A:$A, items_clean!$B:$B, "")</f>
        <v>CDR-ICT-LG</v>
      </c>
      <c r="L413" s="1" t="str">
        <f>_xlfn.XLOOKUP($J413, items_clean!$A:$A, items_clean!$C:$C, "")</f>
        <v>Iced Tea</v>
      </c>
      <c r="M413" s="1" t="str">
        <f>_xlfn.XLOOKUP($J413, items_clean!$A:$A, items_clean!$D:$D, "")</f>
        <v>Cold Drinks</v>
      </c>
      <c r="N413" s="1" t="str">
        <f>_xlfn.XLOOKUP($J413, items_clean!$A:$A, items_clean!$E:$E, "")</f>
        <v>Large</v>
      </c>
      <c r="O413" s="3">
        <v>1</v>
      </c>
      <c r="P413" s="2">
        <f>_xlfn.XLOOKUP($J413, items_clean!$A:$A, items_clean!$F:$F, "")</f>
        <v>3.55</v>
      </c>
      <c r="Q413" s="2">
        <f t="shared" si="45"/>
        <v>3.55</v>
      </c>
      <c r="R413" s="7">
        <f>_xlfn.XLOOKUP(K413, recipe_cost!$A:$A, recipe_cost!$B:$B, "")</f>
        <v>0.26984999999999998</v>
      </c>
      <c r="S413" s="10">
        <f t="shared" si="46"/>
        <v>0.26984999999999998</v>
      </c>
      <c r="T413" s="10">
        <f t="shared" si="47"/>
        <v>3.2801499999999999</v>
      </c>
      <c r="U413" s="9">
        <f t="shared" si="48"/>
        <v>0.92398591549295772</v>
      </c>
    </row>
    <row r="414" spans="1:21" x14ac:dyDescent="0.3">
      <c r="A414" s="1">
        <v>413</v>
      </c>
      <c r="B414" s="1" t="s">
        <v>660</v>
      </c>
      <c r="C414" s="4">
        <v>45339.382638888892</v>
      </c>
      <c r="D414" s="5">
        <f t="shared" si="42"/>
        <v>45339</v>
      </c>
      <c r="E414" s="3">
        <f t="shared" si="43"/>
        <v>9</v>
      </c>
      <c r="F414" s="1" t="str" cm="1">
        <f t="array" ref="F414">_xlfn.IFS(
E414&lt;11,"Morning",
E414&lt;15,"Afternoon",
TRUE,"Evening"
)</f>
        <v>Morning</v>
      </c>
      <c r="G414" s="3" t="str">
        <f t="shared" si="44"/>
        <v>Sat</v>
      </c>
      <c r="H414" s="1" t="s">
        <v>661</v>
      </c>
      <c r="I414" s="1" t="s">
        <v>146</v>
      </c>
      <c r="J414" s="1" t="s">
        <v>113</v>
      </c>
      <c r="K414" s="1" t="str">
        <f>_xlfn.XLOOKUP($J414, items_clean!$A:$A, items_clean!$B:$B, "")</f>
        <v>HDR-MOC-MD</v>
      </c>
      <c r="L414" s="1" t="str">
        <f>_xlfn.XLOOKUP($J414, items_clean!$A:$A, items_clean!$C:$C, "")</f>
        <v>Mocha</v>
      </c>
      <c r="M414" s="1" t="str">
        <f>_xlfn.XLOOKUP($J414, items_clean!$A:$A, items_clean!$D:$D, "")</f>
        <v>Hot Drinks</v>
      </c>
      <c r="N414" s="1" t="str">
        <f>_xlfn.XLOOKUP($J414, items_clean!$A:$A, items_clean!$E:$E, "")</f>
        <v>Medium</v>
      </c>
      <c r="O414" s="3">
        <v>1</v>
      </c>
      <c r="P414" s="2">
        <f>_xlfn.XLOOKUP($J414, items_clean!$A:$A, items_clean!$F:$F, "")</f>
        <v>4</v>
      </c>
      <c r="Q414" s="2">
        <f t="shared" si="45"/>
        <v>4</v>
      </c>
      <c r="R414" s="7">
        <f>_xlfn.XLOOKUP(K414, recipe_cost!$A:$A, recipe_cost!$B:$B, "")</f>
        <v>0.4098</v>
      </c>
      <c r="S414" s="10">
        <f t="shared" si="46"/>
        <v>0.4098</v>
      </c>
      <c r="T414" s="10">
        <f t="shared" si="47"/>
        <v>3.5901999999999998</v>
      </c>
      <c r="U414" s="9">
        <f t="shared" si="48"/>
        <v>0.89754999999999996</v>
      </c>
    </row>
    <row r="415" spans="1:21" x14ac:dyDescent="0.3">
      <c r="A415" s="1">
        <v>414</v>
      </c>
      <c r="B415" s="1" t="s">
        <v>663</v>
      </c>
      <c r="C415" s="4">
        <v>45339.38958333333</v>
      </c>
      <c r="D415" s="5">
        <f t="shared" si="42"/>
        <v>45339</v>
      </c>
      <c r="E415" s="3">
        <f t="shared" si="43"/>
        <v>9</v>
      </c>
      <c r="F415" s="1" t="str" cm="1">
        <f t="array" ref="F415">_xlfn.IFS(
E415&lt;11,"Morning",
E415&lt;15,"Afternoon",
TRUE,"Evening"
)</f>
        <v>Morning</v>
      </c>
      <c r="G415" s="3" t="str">
        <f t="shared" si="44"/>
        <v>Sat</v>
      </c>
      <c r="H415" s="1" t="s">
        <v>664</v>
      </c>
      <c r="I415" s="1" t="s">
        <v>146</v>
      </c>
      <c r="J415" s="1" t="s">
        <v>118</v>
      </c>
      <c r="K415" s="1" t="str">
        <f>_xlfn.XLOOKUP($J415, items_clean!$A:$A, items_clean!$B:$B, "")</f>
        <v>HDR-WMO-LG</v>
      </c>
      <c r="L415" s="1" t="str">
        <f>_xlfn.XLOOKUP($J415, items_clean!$A:$A, items_clean!$C:$C, "")</f>
        <v>White Mocha</v>
      </c>
      <c r="M415" s="1" t="str">
        <f>_xlfn.XLOOKUP($J415, items_clean!$A:$A, items_clean!$D:$D, "")</f>
        <v>Hot Drinks</v>
      </c>
      <c r="N415" s="1" t="str">
        <f>_xlfn.XLOOKUP($J415, items_clean!$A:$A, items_clean!$E:$E, "")</f>
        <v>Large</v>
      </c>
      <c r="O415" s="3">
        <v>1</v>
      </c>
      <c r="P415" s="2">
        <f>_xlfn.XLOOKUP($J415, items_clean!$A:$A, items_clean!$F:$F, "")</f>
        <v>4.7</v>
      </c>
      <c r="Q415" s="2">
        <f t="shared" si="45"/>
        <v>4.7</v>
      </c>
      <c r="R415" s="7">
        <f>_xlfn.XLOOKUP(K415, recipe_cost!$A:$A, recipe_cost!$B:$B, "")</f>
        <v>0.56669999999999998</v>
      </c>
      <c r="S415" s="10">
        <f t="shared" si="46"/>
        <v>0.56669999999999998</v>
      </c>
      <c r="T415" s="10">
        <f t="shared" si="47"/>
        <v>4.1333000000000002</v>
      </c>
      <c r="U415" s="9">
        <f t="shared" si="48"/>
        <v>0.87942553191489359</v>
      </c>
    </row>
    <row r="416" spans="1:21" x14ac:dyDescent="0.3">
      <c r="A416" s="1">
        <v>415</v>
      </c>
      <c r="B416" s="1" t="s">
        <v>665</v>
      </c>
      <c r="C416" s="4">
        <v>45339.393750000003</v>
      </c>
      <c r="D416" s="5">
        <f t="shared" si="42"/>
        <v>45339</v>
      </c>
      <c r="E416" s="3">
        <f t="shared" si="43"/>
        <v>9</v>
      </c>
      <c r="F416" s="1" t="str" cm="1">
        <f t="array" ref="F416">_xlfn.IFS(
E416&lt;11,"Morning",
E416&lt;15,"Afternoon",
TRUE,"Evening"
)</f>
        <v>Morning</v>
      </c>
      <c r="G416" s="3" t="str">
        <f t="shared" si="44"/>
        <v>Sat</v>
      </c>
      <c r="H416" s="1" t="s">
        <v>539</v>
      </c>
      <c r="I416" s="1" t="s">
        <v>149</v>
      </c>
      <c r="J416" s="1" t="s">
        <v>128</v>
      </c>
      <c r="K416" s="1" t="str">
        <f>_xlfn.XLOOKUP($J416, items_clean!$A:$A, items_clean!$B:$B, "")</f>
        <v>CDR-CMO-LG</v>
      </c>
      <c r="L416" s="1" t="str">
        <f>_xlfn.XLOOKUP($J416, items_clean!$A:$A, items_clean!$C:$C, "")</f>
        <v>Cold Mocha</v>
      </c>
      <c r="M416" s="1" t="str">
        <f>_xlfn.XLOOKUP($J416, items_clean!$A:$A, items_clean!$D:$D, "")</f>
        <v>Cold Drinks</v>
      </c>
      <c r="N416" s="1" t="str">
        <f>_xlfn.XLOOKUP($J416, items_clean!$A:$A, items_clean!$E:$E, "")</f>
        <v>Large</v>
      </c>
      <c r="O416" s="3">
        <v>1</v>
      </c>
      <c r="P416" s="2">
        <f>_xlfn.XLOOKUP($J416, items_clean!$A:$A, items_clean!$F:$F, "")</f>
        <v>4.5999999999999996</v>
      </c>
      <c r="Q416" s="2">
        <f t="shared" si="45"/>
        <v>4.5999999999999996</v>
      </c>
      <c r="R416" s="7">
        <f>_xlfn.XLOOKUP(K416, recipe_cost!$A:$A, recipe_cost!$B:$B, "")</f>
        <v>0.56669999999999998</v>
      </c>
      <c r="S416" s="10">
        <f t="shared" si="46"/>
        <v>0.56669999999999998</v>
      </c>
      <c r="T416" s="10">
        <f t="shared" si="47"/>
        <v>4.0332999999999997</v>
      </c>
      <c r="U416" s="9">
        <f t="shared" si="48"/>
        <v>0.87680434782608696</v>
      </c>
    </row>
    <row r="417" spans="1:21" x14ac:dyDescent="0.3">
      <c r="A417" s="1">
        <v>416</v>
      </c>
      <c r="B417" s="1" t="s">
        <v>665</v>
      </c>
      <c r="C417" s="4">
        <v>45339.393750000003</v>
      </c>
      <c r="D417" s="5">
        <f t="shared" si="42"/>
        <v>45339</v>
      </c>
      <c r="E417" s="3">
        <f t="shared" si="43"/>
        <v>9</v>
      </c>
      <c r="F417" s="1" t="str" cm="1">
        <f t="array" ref="F417">_xlfn.IFS(
E417&lt;11,"Morning",
E417&lt;15,"Afternoon",
TRUE,"Evening"
)</f>
        <v>Morning</v>
      </c>
      <c r="G417" s="3" t="str">
        <f t="shared" si="44"/>
        <v>Sat</v>
      </c>
      <c r="H417" s="1" t="s">
        <v>539</v>
      </c>
      <c r="I417" s="1" t="s">
        <v>778</v>
      </c>
      <c r="J417" s="1" t="s">
        <v>134</v>
      </c>
      <c r="K417" s="1" t="str">
        <f>_xlfn.XLOOKUP($J417, items_clean!$A:$A, items_clean!$B:$B, "")</f>
        <v>CDR-LMN-LG</v>
      </c>
      <c r="L417" s="1" t="str">
        <f>_xlfn.XLOOKUP($J417, items_clean!$A:$A, items_clean!$C:$C, "")</f>
        <v>Lemonade</v>
      </c>
      <c r="M417" s="1" t="str">
        <f>_xlfn.XLOOKUP($J417, items_clean!$A:$A, items_clean!$D:$D, "")</f>
        <v>Cold Drinks</v>
      </c>
      <c r="N417" s="1" t="str">
        <f>_xlfn.XLOOKUP($J417, items_clean!$A:$A, items_clean!$E:$E, "")</f>
        <v>Large</v>
      </c>
      <c r="O417" s="3">
        <v>1</v>
      </c>
      <c r="P417" s="2">
        <f>_xlfn.XLOOKUP($J417, items_clean!$A:$A, items_clean!$F:$F, "")</f>
        <v>3.75</v>
      </c>
      <c r="Q417" s="2">
        <f t="shared" si="45"/>
        <v>3.75</v>
      </c>
      <c r="R417" s="7">
        <f>_xlfn.XLOOKUP(K417, recipe_cost!$A:$A, recipe_cost!$B:$B, "")</f>
        <v>0.36</v>
      </c>
      <c r="S417" s="10">
        <f t="shared" si="46"/>
        <v>0.36</v>
      </c>
      <c r="T417" s="10">
        <f t="shared" si="47"/>
        <v>3.39</v>
      </c>
      <c r="U417" s="9">
        <f t="shared" si="48"/>
        <v>0.90400000000000003</v>
      </c>
    </row>
    <row r="418" spans="1:21" x14ac:dyDescent="0.3">
      <c r="A418" s="1">
        <v>417</v>
      </c>
      <c r="B418" s="1" t="s">
        <v>666</v>
      </c>
      <c r="C418" s="4">
        <v>45339.397222222222</v>
      </c>
      <c r="D418" s="5">
        <f t="shared" si="42"/>
        <v>45339</v>
      </c>
      <c r="E418" s="3">
        <f t="shared" si="43"/>
        <v>9</v>
      </c>
      <c r="F418" s="1" t="str" cm="1">
        <f t="array" ref="F418">_xlfn.IFS(
E418&lt;11,"Morning",
E418&lt;15,"Afternoon",
TRUE,"Evening"
)</f>
        <v>Morning</v>
      </c>
      <c r="G418" s="3" t="str">
        <f t="shared" si="44"/>
        <v>Sat</v>
      </c>
      <c r="H418" s="1" t="s">
        <v>667</v>
      </c>
      <c r="I418" s="1" t="s">
        <v>146</v>
      </c>
      <c r="J418" s="1" t="s">
        <v>105</v>
      </c>
      <c r="K418" s="1" t="str">
        <f>_xlfn.XLOOKUP($J418, items_clean!$A:$A, items_clean!$B:$B, "")</f>
        <v>HDR-FLT</v>
      </c>
      <c r="L418" s="1" t="str">
        <f>_xlfn.XLOOKUP($J418, items_clean!$A:$A, items_clean!$C:$C, "")</f>
        <v>Flat White</v>
      </c>
      <c r="M418" s="1" t="str">
        <f>_xlfn.XLOOKUP($J418, items_clean!$A:$A, items_clean!$D:$D, "")</f>
        <v>Hot Drinks</v>
      </c>
      <c r="N418" s="1" t="str">
        <f>_xlfn.XLOOKUP($J418, items_clean!$A:$A, items_clean!$E:$E, "")</f>
        <v>N/A</v>
      </c>
      <c r="O418" s="3">
        <v>1</v>
      </c>
      <c r="P418" s="2">
        <f>_xlfn.XLOOKUP($J418, items_clean!$A:$A, items_clean!$F:$F, "")</f>
        <v>3.15</v>
      </c>
      <c r="Q418" s="2">
        <f t="shared" si="45"/>
        <v>3.15</v>
      </c>
      <c r="R418" s="7">
        <f>_xlfn.XLOOKUP(K418, recipe_cost!$A:$A, recipe_cost!$B:$B, "")</f>
        <v>0.28799999999999998</v>
      </c>
      <c r="S418" s="10">
        <f t="shared" si="46"/>
        <v>0.28799999999999998</v>
      </c>
      <c r="T418" s="10">
        <f t="shared" si="47"/>
        <v>2.8620000000000001</v>
      </c>
      <c r="U418" s="9">
        <f t="shared" si="48"/>
        <v>0.90857142857142859</v>
      </c>
    </row>
    <row r="419" spans="1:21" x14ac:dyDescent="0.3">
      <c r="A419" s="1">
        <v>418</v>
      </c>
      <c r="B419" s="1" t="s">
        <v>668</v>
      </c>
      <c r="C419" s="4">
        <v>45339.400694444441</v>
      </c>
      <c r="D419" s="5">
        <f t="shared" si="42"/>
        <v>45339</v>
      </c>
      <c r="E419" s="3">
        <f t="shared" si="43"/>
        <v>9</v>
      </c>
      <c r="F419" s="1" t="str" cm="1">
        <f t="array" ref="F419">_xlfn.IFS(
E419&lt;11,"Morning",
E419&lt;15,"Afternoon",
TRUE,"Evening"
)</f>
        <v>Morning</v>
      </c>
      <c r="G419" s="3" t="str">
        <f t="shared" si="44"/>
        <v>Sat</v>
      </c>
      <c r="H419" s="1" t="s">
        <v>669</v>
      </c>
      <c r="I419" s="1" t="s">
        <v>149</v>
      </c>
      <c r="J419" s="1" t="s">
        <v>116</v>
      </c>
      <c r="K419" s="1" t="str">
        <f>_xlfn.XLOOKUP($J419, items_clean!$A:$A, items_clean!$B:$B, "")</f>
        <v>HDR-WMO-MD</v>
      </c>
      <c r="L419" s="1" t="str">
        <f>_xlfn.XLOOKUP($J419, items_clean!$A:$A, items_clean!$C:$C, "")</f>
        <v>White Mocha</v>
      </c>
      <c r="M419" s="1" t="str">
        <f>_xlfn.XLOOKUP($J419, items_clean!$A:$A, items_clean!$D:$D, "")</f>
        <v>Hot Drinks</v>
      </c>
      <c r="N419" s="1" t="str">
        <f>_xlfn.XLOOKUP($J419, items_clean!$A:$A, items_clean!$E:$E, "")</f>
        <v>Medium</v>
      </c>
      <c r="O419" s="3">
        <v>1</v>
      </c>
      <c r="P419" s="2">
        <f>_xlfn.XLOOKUP($J419, items_clean!$A:$A, items_clean!$F:$F, "")</f>
        <v>4.5</v>
      </c>
      <c r="Q419" s="2">
        <f t="shared" si="45"/>
        <v>4.5</v>
      </c>
      <c r="R419" s="7">
        <f>_xlfn.XLOOKUP(K419, recipe_cost!$A:$A, recipe_cost!$B:$B, "")</f>
        <v>0.4098</v>
      </c>
      <c r="S419" s="10">
        <f t="shared" si="46"/>
        <v>0.4098</v>
      </c>
      <c r="T419" s="10">
        <f t="shared" si="47"/>
        <v>4.0902000000000003</v>
      </c>
      <c r="U419" s="9">
        <f t="shared" si="48"/>
        <v>0.90893333333333337</v>
      </c>
    </row>
    <row r="420" spans="1:21" x14ac:dyDescent="0.3">
      <c r="A420" s="1">
        <v>419</v>
      </c>
      <c r="B420" s="1" t="s">
        <v>672</v>
      </c>
      <c r="C420" s="4">
        <v>45339.407638888886</v>
      </c>
      <c r="D420" s="5">
        <f t="shared" si="42"/>
        <v>45339</v>
      </c>
      <c r="E420" s="3">
        <f t="shared" si="43"/>
        <v>9</v>
      </c>
      <c r="F420" s="1" t="str" cm="1">
        <f t="array" ref="F420">_xlfn.IFS(
E420&lt;11,"Morning",
E420&lt;15,"Afternoon",
TRUE,"Evening"
)</f>
        <v>Morning</v>
      </c>
      <c r="G420" s="3" t="str">
        <f t="shared" si="44"/>
        <v>Sat</v>
      </c>
      <c r="H420" s="1" t="s">
        <v>673</v>
      </c>
      <c r="I420" s="1" t="s">
        <v>149</v>
      </c>
      <c r="J420" s="1" t="s">
        <v>102</v>
      </c>
      <c r="K420" s="1" t="str">
        <f>_xlfn.XLOOKUP($J420, items_clean!$A:$A, items_clean!$B:$B, "")</f>
        <v>HDR-LAT-MD</v>
      </c>
      <c r="L420" s="1" t="str">
        <f>_xlfn.XLOOKUP($J420, items_clean!$A:$A, items_clean!$C:$C, "")</f>
        <v>Latte</v>
      </c>
      <c r="M420" s="1" t="str">
        <f>_xlfn.XLOOKUP($J420, items_clean!$A:$A, items_clean!$D:$D, "")</f>
        <v>Hot Drinks</v>
      </c>
      <c r="N420" s="1" t="str">
        <f>_xlfn.XLOOKUP($J420, items_clean!$A:$A, items_clean!$E:$E, "")</f>
        <v>Medium</v>
      </c>
      <c r="O420" s="3">
        <v>1</v>
      </c>
      <c r="P420" s="2">
        <f>_xlfn.XLOOKUP($J420, items_clean!$A:$A, items_clean!$F:$F, "")</f>
        <v>3.45</v>
      </c>
      <c r="Q420" s="2">
        <f t="shared" si="45"/>
        <v>3.45</v>
      </c>
      <c r="R420" s="7">
        <f>_xlfn.XLOOKUP(K420, recipe_cost!$A:$A, recipe_cost!$B:$B, "")</f>
        <v>0.252</v>
      </c>
      <c r="S420" s="10">
        <f t="shared" si="46"/>
        <v>0.252</v>
      </c>
      <c r="T420" s="10">
        <f t="shared" si="47"/>
        <v>3.1980000000000004</v>
      </c>
      <c r="U420" s="9">
        <f t="shared" si="48"/>
        <v>0.92695652173913046</v>
      </c>
    </row>
    <row r="421" spans="1:21" x14ac:dyDescent="0.3">
      <c r="A421" s="1">
        <v>420</v>
      </c>
      <c r="B421" s="1" t="s">
        <v>674</v>
      </c>
      <c r="C421" s="4">
        <v>45339.411111111112</v>
      </c>
      <c r="D421" s="5">
        <f t="shared" si="42"/>
        <v>45339</v>
      </c>
      <c r="E421" s="3">
        <f t="shared" si="43"/>
        <v>9</v>
      </c>
      <c r="F421" s="1" t="str" cm="1">
        <f t="array" ref="F421">_xlfn.IFS(
E421&lt;11,"Morning",
E421&lt;15,"Afternoon",
TRUE,"Evening"
)</f>
        <v>Morning</v>
      </c>
      <c r="G421" s="3" t="str">
        <f t="shared" si="44"/>
        <v>Sat</v>
      </c>
      <c r="H421" s="1" t="s">
        <v>675</v>
      </c>
      <c r="I421" s="1" t="s">
        <v>146</v>
      </c>
      <c r="J421" s="1" t="s">
        <v>125</v>
      </c>
      <c r="K421" s="1" t="str">
        <f>_xlfn.XLOOKUP($J421, items_clean!$A:$A, items_clean!$B:$B, "")</f>
        <v>CDR-CCF-LG</v>
      </c>
      <c r="L421" s="1" t="str">
        <f>_xlfn.XLOOKUP($J421, items_clean!$A:$A, items_clean!$C:$C, "")</f>
        <v>Cold Coffee</v>
      </c>
      <c r="M421" s="1" t="str">
        <f>_xlfn.XLOOKUP($J421, items_clean!$A:$A, items_clean!$D:$D, "")</f>
        <v>Cold Drinks</v>
      </c>
      <c r="N421" s="1" t="str">
        <f>_xlfn.XLOOKUP($J421, items_clean!$A:$A, items_clean!$E:$E, "")</f>
        <v>Large</v>
      </c>
      <c r="O421" s="3">
        <v>1</v>
      </c>
      <c r="P421" s="2">
        <f>_xlfn.XLOOKUP($J421, items_clean!$A:$A, items_clean!$F:$F, "")</f>
        <v>3.75</v>
      </c>
      <c r="Q421" s="2">
        <f t="shared" si="45"/>
        <v>3.75</v>
      </c>
      <c r="R421" s="7">
        <f>_xlfn.XLOOKUP(K421, recipe_cost!$A:$A, recipe_cost!$B:$B, "")</f>
        <v>0.33599999999999997</v>
      </c>
      <c r="S421" s="10">
        <f t="shared" si="46"/>
        <v>0.33599999999999997</v>
      </c>
      <c r="T421" s="10">
        <f t="shared" si="47"/>
        <v>3.4140000000000001</v>
      </c>
      <c r="U421" s="9">
        <f t="shared" si="48"/>
        <v>0.91039999999999999</v>
      </c>
    </row>
    <row r="422" spans="1:21" x14ac:dyDescent="0.3">
      <c r="A422" s="1">
        <v>421</v>
      </c>
      <c r="B422" s="1" t="s">
        <v>674</v>
      </c>
      <c r="C422" s="4">
        <v>45339.411111111112</v>
      </c>
      <c r="D422" s="5">
        <f t="shared" si="42"/>
        <v>45339</v>
      </c>
      <c r="E422" s="3">
        <f t="shared" si="43"/>
        <v>9</v>
      </c>
      <c r="F422" s="1" t="str" cm="1">
        <f t="array" ref="F422">_xlfn.IFS(
E422&lt;11,"Morning",
E422&lt;15,"Afternoon",
TRUE,"Evening"
)</f>
        <v>Morning</v>
      </c>
      <c r="G422" s="3" t="str">
        <f t="shared" si="44"/>
        <v>Sat</v>
      </c>
      <c r="H422" s="1" t="s">
        <v>675</v>
      </c>
      <c r="I422" s="1" t="s">
        <v>778</v>
      </c>
      <c r="J422" s="1" t="s">
        <v>138</v>
      </c>
      <c r="K422" s="1" t="str">
        <f>_xlfn.XLOOKUP($J422, items_clean!$A:$A, items_clean!$B:$B, "")</f>
        <v>SNK-SSM</v>
      </c>
      <c r="L422" s="1" t="str">
        <f>_xlfn.XLOOKUP($J422, items_clean!$A:$A, items_clean!$C:$C, "")</f>
        <v>Sandwich Salami&amp;Mozzarella</v>
      </c>
      <c r="M422" s="1" t="str">
        <f>_xlfn.XLOOKUP($J422, items_clean!$A:$A, items_clean!$D:$D, "")</f>
        <v>Snacks</v>
      </c>
      <c r="N422" s="1" t="str">
        <f>_xlfn.XLOOKUP($J422, items_clean!$A:$A, items_clean!$E:$E, "")</f>
        <v>N/A</v>
      </c>
      <c r="O422" s="3">
        <v>1</v>
      </c>
      <c r="P422" s="2">
        <f>_xlfn.XLOOKUP($J422, items_clean!$A:$A, items_clean!$F:$F, "")</f>
        <v>5.5</v>
      </c>
      <c r="Q422" s="2">
        <f t="shared" si="45"/>
        <v>5.5</v>
      </c>
      <c r="R422" s="7">
        <f>_xlfn.XLOOKUP(K422, recipe_cost!$A:$A, recipe_cost!$B:$B, "")</f>
        <v>1.3120000000000001</v>
      </c>
      <c r="S422" s="10">
        <f t="shared" si="46"/>
        <v>1.3120000000000001</v>
      </c>
      <c r="T422" s="10">
        <f t="shared" si="47"/>
        <v>4.1879999999999997</v>
      </c>
      <c r="U422" s="9">
        <f t="shared" si="48"/>
        <v>0.76145454545454538</v>
      </c>
    </row>
    <row r="423" spans="1:21" x14ac:dyDescent="0.3">
      <c r="A423" s="1">
        <v>422</v>
      </c>
      <c r="B423" s="1" t="s">
        <v>676</v>
      </c>
      <c r="C423" s="4">
        <v>45339.414583333331</v>
      </c>
      <c r="D423" s="5">
        <f t="shared" si="42"/>
        <v>45339</v>
      </c>
      <c r="E423" s="3">
        <f t="shared" si="43"/>
        <v>9</v>
      </c>
      <c r="F423" s="1" t="str" cm="1">
        <f t="array" ref="F423">_xlfn.IFS(
E423&lt;11,"Morning",
E423&lt;15,"Afternoon",
TRUE,"Evening"
)</f>
        <v>Morning</v>
      </c>
      <c r="G423" s="3" t="str">
        <f t="shared" si="44"/>
        <v>Sat</v>
      </c>
      <c r="H423" s="1" t="s">
        <v>478</v>
      </c>
      <c r="I423" s="1" t="s">
        <v>149</v>
      </c>
      <c r="J423" s="1" t="s">
        <v>111</v>
      </c>
      <c r="K423" s="1" t="str">
        <f>_xlfn.XLOOKUP($J423, items_clean!$A:$A, items_clean!$B:$B, "")</f>
        <v>HDR-ESP</v>
      </c>
      <c r="L423" s="1" t="str">
        <f>_xlfn.XLOOKUP($J423, items_clean!$A:$A, items_clean!$C:$C, "")</f>
        <v>Espresso</v>
      </c>
      <c r="M423" s="1" t="str">
        <f>_xlfn.XLOOKUP($J423, items_clean!$A:$A, items_clean!$D:$D, "")</f>
        <v>Hot Drinks</v>
      </c>
      <c r="N423" s="1" t="str">
        <f>_xlfn.XLOOKUP($J423, items_clean!$A:$A, items_clean!$E:$E, "")</f>
        <v>N/A</v>
      </c>
      <c r="O423" s="3">
        <v>1</v>
      </c>
      <c r="P423" s="2">
        <f>_xlfn.XLOOKUP($J423, items_clean!$A:$A, items_clean!$F:$F, "")</f>
        <v>2.15</v>
      </c>
      <c r="Q423" s="2">
        <f t="shared" si="45"/>
        <v>2.15</v>
      </c>
      <c r="R423" s="7">
        <f>_xlfn.XLOOKUP(K423, recipe_cost!$A:$A, recipe_cost!$B:$B, "")</f>
        <v>9.6000000000000002E-2</v>
      </c>
      <c r="S423" s="10">
        <f t="shared" si="46"/>
        <v>9.6000000000000002E-2</v>
      </c>
      <c r="T423" s="10">
        <f t="shared" si="47"/>
        <v>2.0539999999999998</v>
      </c>
      <c r="U423" s="9">
        <f t="shared" si="48"/>
        <v>0.9553488372093023</v>
      </c>
    </row>
    <row r="424" spans="1:21" x14ac:dyDescent="0.3">
      <c r="A424" s="1">
        <v>423</v>
      </c>
      <c r="B424" s="1" t="s">
        <v>676</v>
      </c>
      <c r="C424" s="4">
        <v>45339.422222222223</v>
      </c>
      <c r="D424" s="5">
        <f t="shared" si="42"/>
        <v>45339</v>
      </c>
      <c r="E424" s="3">
        <f t="shared" si="43"/>
        <v>10</v>
      </c>
      <c r="F424" s="1" t="str" cm="1">
        <f t="array" ref="F424">_xlfn.IFS(
E424&lt;11,"Morning",
E424&lt;15,"Afternoon",
TRUE,"Evening"
)</f>
        <v>Morning</v>
      </c>
      <c r="G424" s="3" t="str">
        <f t="shared" si="44"/>
        <v>Sat</v>
      </c>
      <c r="H424" s="1" t="s">
        <v>546</v>
      </c>
      <c r="I424" s="1" t="s">
        <v>778</v>
      </c>
      <c r="J424" s="1" t="s">
        <v>125</v>
      </c>
      <c r="K424" s="1" t="str">
        <f>_xlfn.XLOOKUP($J424, items_clean!$A:$A, items_clean!$B:$B, "")</f>
        <v>CDR-CCF-LG</v>
      </c>
      <c r="L424" s="1" t="str">
        <f>_xlfn.XLOOKUP($J424, items_clean!$A:$A, items_clean!$C:$C, "")</f>
        <v>Cold Coffee</v>
      </c>
      <c r="M424" s="1" t="str">
        <f>_xlfn.XLOOKUP($J424, items_clean!$A:$A, items_clean!$D:$D, "")</f>
        <v>Cold Drinks</v>
      </c>
      <c r="N424" s="1" t="str">
        <f>_xlfn.XLOOKUP($J424, items_clean!$A:$A, items_clean!$E:$E, "")</f>
        <v>Large</v>
      </c>
      <c r="O424" s="3">
        <v>1</v>
      </c>
      <c r="P424" s="2">
        <f>_xlfn.XLOOKUP($J424, items_clean!$A:$A, items_clean!$F:$F, "")</f>
        <v>3.75</v>
      </c>
      <c r="Q424" s="2">
        <f t="shared" si="45"/>
        <v>3.75</v>
      </c>
      <c r="R424" s="7">
        <f>_xlfn.XLOOKUP(K424, recipe_cost!$A:$A, recipe_cost!$B:$B, "")</f>
        <v>0.33599999999999997</v>
      </c>
      <c r="S424" s="10">
        <f t="shared" si="46"/>
        <v>0.33599999999999997</v>
      </c>
      <c r="T424" s="10">
        <f t="shared" si="47"/>
        <v>3.4140000000000001</v>
      </c>
      <c r="U424" s="9">
        <f t="shared" si="48"/>
        <v>0.91039999999999999</v>
      </c>
    </row>
    <row r="425" spans="1:21" x14ac:dyDescent="0.3">
      <c r="A425" s="1">
        <v>424</v>
      </c>
      <c r="B425" s="1" t="s">
        <v>677</v>
      </c>
      <c r="C425" s="4">
        <v>45339.433333333334</v>
      </c>
      <c r="D425" s="5">
        <f t="shared" si="42"/>
        <v>45339</v>
      </c>
      <c r="E425" s="3">
        <f t="shared" si="43"/>
        <v>10</v>
      </c>
      <c r="F425" s="1" t="str" cm="1">
        <f t="array" ref="F425">_xlfn.IFS(
E425&lt;11,"Morning",
E425&lt;15,"Afternoon",
TRUE,"Evening"
)</f>
        <v>Morning</v>
      </c>
      <c r="G425" s="3" t="str">
        <f t="shared" si="44"/>
        <v>Sat</v>
      </c>
      <c r="H425" s="1" t="s">
        <v>145</v>
      </c>
      <c r="I425" s="1" t="s">
        <v>149</v>
      </c>
      <c r="J425" s="1" t="s">
        <v>138</v>
      </c>
      <c r="K425" s="1" t="str">
        <f>_xlfn.XLOOKUP($J425, items_clean!$A:$A, items_clean!$B:$B, "")</f>
        <v>SNK-SSM</v>
      </c>
      <c r="L425" s="1" t="str">
        <f>_xlfn.XLOOKUP($J425, items_clean!$A:$A, items_clean!$C:$C, "")</f>
        <v>Sandwich Salami&amp;Mozzarella</v>
      </c>
      <c r="M425" s="1" t="str">
        <f>_xlfn.XLOOKUP($J425, items_clean!$A:$A, items_clean!$D:$D, "")</f>
        <v>Snacks</v>
      </c>
      <c r="N425" s="1" t="str">
        <f>_xlfn.XLOOKUP($J425, items_clean!$A:$A, items_clean!$E:$E, "")</f>
        <v>N/A</v>
      </c>
      <c r="O425" s="3">
        <v>1</v>
      </c>
      <c r="P425" s="2">
        <f>_xlfn.XLOOKUP($J425, items_clean!$A:$A, items_clean!$F:$F, "")</f>
        <v>5.5</v>
      </c>
      <c r="Q425" s="2">
        <f t="shared" si="45"/>
        <v>5.5</v>
      </c>
      <c r="R425" s="7">
        <f>_xlfn.XLOOKUP(K425, recipe_cost!$A:$A, recipe_cost!$B:$B, "")</f>
        <v>1.3120000000000001</v>
      </c>
      <c r="S425" s="10">
        <f t="shared" si="46"/>
        <v>1.3120000000000001</v>
      </c>
      <c r="T425" s="10">
        <f t="shared" si="47"/>
        <v>4.1879999999999997</v>
      </c>
      <c r="U425" s="9">
        <f t="shared" si="48"/>
        <v>0.76145454545454538</v>
      </c>
    </row>
    <row r="426" spans="1:21" x14ac:dyDescent="0.3">
      <c r="A426" s="1">
        <v>425</v>
      </c>
      <c r="B426" s="1" t="s">
        <v>677</v>
      </c>
      <c r="C426" s="4">
        <v>45339.433333333334</v>
      </c>
      <c r="D426" s="5">
        <f t="shared" si="42"/>
        <v>45339</v>
      </c>
      <c r="E426" s="3">
        <f t="shared" si="43"/>
        <v>10</v>
      </c>
      <c r="F426" s="1" t="str" cm="1">
        <f t="array" ref="F426">_xlfn.IFS(
E426&lt;11,"Morning",
E426&lt;15,"Afternoon",
TRUE,"Evening"
)</f>
        <v>Morning</v>
      </c>
      <c r="G426" s="3" t="str">
        <f t="shared" si="44"/>
        <v>Sat</v>
      </c>
      <c r="H426" s="1" t="s">
        <v>145</v>
      </c>
      <c r="I426" s="1" t="s">
        <v>778</v>
      </c>
      <c r="J426" s="1" t="s">
        <v>111</v>
      </c>
      <c r="K426" s="1" t="str">
        <f>_xlfn.XLOOKUP($J426, items_clean!$A:$A, items_clean!$B:$B, "")</f>
        <v>HDR-ESP</v>
      </c>
      <c r="L426" s="1" t="str">
        <f>_xlfn.XLOOKUP($J426, items_clean!$A:$A, items_clean!$C:$C, "")</f>
        <v>Espresso</v>
      </c>
      <c r="M426" s="1" t="str">
        <f>_xlfn.XLOOKUP($J426, items_clean!$A:$A, items_clean!$D:$D, "")</f>
        <v>Hot Drinks</v>
      </c>
      <c r="N426" s="1" t="str">
        <f>_xlfn.XLOOKUP($J426, items_clean!$A:$A, items_clean!$E:$E, "")</f>
        <v>N/A</v>
      </c>
      <c r="O426" s="3">
        <v>1</v>
      </c>
      <c r="P426" s="2">
        <f>_xlfn.XLOOKUP($J426, items_clean!$A:$A, items_clean!$F:$F, "")</f>
        <v>2.15</v>
      </c>
      <c r="Q426" s="2">
        <f t="shared" si="45"/>
        <v>2.15</v>
      </c>
      <c r="R426" s="7">
        <f>_xlfn.XLOOKUP(K426, recipe_cost!$A:$A, recipe_cost!$B:$B, "")</f>
        <v>9.6000000000000002E-2</v>
      </c>
      <c r="S426" s="10">
        <f t="shared" si="46"/>
        <v>9.6000000000000002E-2</v>
      </c>
      <c r="T426" s="10">
        <f t="shared" si="47"/>
        <v>2.0539999999999998</v>
      </c>
      <c r="U426" s="9">
        <f t="shared" si="48"/>
        <v>0.9553488372093023</v>
      </c>
    </row>
    <row r="427" spans="1:21" x14ac:dyDescent="0.3">
      <c r="A427" s="1">
        <v>426</v>
      </c>
      <c r="B427" s="1" t="s">
        <v>678</v>
      </c>
      <c r="C427" s="4">
        <v>45339.444444444445</v>
      </c>
      <c r="D427" s="5">
        <f t="shared" si="42"/>
        <v>45339</v>
      </c>
      <c r="E427" s="3">
        <f t="shared" si="43"/>
        <v>10</v>
      </c>
      <c r="F427" s="1" t="str" cm="1">
        <f t="array" ref="F427">_xlfn.IFS(
E427&lt;11,"Morning",
E427&lt;15,"Afternoon",
TRUE,"Evening"
)</f>
        <v>Morning</v>
      </c>
      <c r="G427" s="3" t="str">
        <f t="shared" si="44"/>
        <v>Sat</v>
      </c>
      <c r="H427" s="1" t="s">
        <v>167</v>
      </c>
      <c r="I427" s="1" t="s">
        <v>146</v>
      </c>
      <c r="J427" s="1" t="s">
        <v>100</v>
      </c>
      <c r="K427" s="1" t="str">
        <f>_xlfn.XLOOKUP($J427, items_clean!$A:$A, items_clean!$B:$B, "")</f>
        <v>HDR-CAP-LG</v>
      </c>
      <c r="L427" s="1" t="str">
        <f>_xlfn.XLOOKUP($J427, items_clean!$A:$A, items_clean!$C:$C, "")</f>
        <v>Cappuccino</v>
      </c>
      <c r="M427" s="1" t="str">
        <f>_xlfn.XLOOKUP($J427, items_clean!$A:$A, items_clean!$D:$D, "")</f>
        <v>Hot Drinks</v>
      </c>
      <c r="N427" s="1" t="str">
        <f>_xlfn.XLOOKUP($J427, items_clean!$A:$A, items_clean!$E:$E, "")</f>
        <v>Large</v>
      </c>
      <c r="O427" s="3">
        <v>1</v>
      </c>
      <c r="P427" s="2">
        <f>_xlfn.XLOOKUP($J427, items_clean!$A:$A, items_clean!$F:$F, "")</f>
        <v>3.75</v>
      </c>
      <c r="Q427" s="2">
        <f t="shared" si="45"/>
        <v>3.75</v>
      </c>
      <c r="R427" s="7">
        <f>_xlfn.XLOOKUP(K427, recipe_cost!$A:$A, recipe_cost!$B:$B, "")</f>
        <v>0.33599999999999997</v>
      </c>
      <c r="S427" s="10">
        <f t="shared" si="46"/>
        <v>0.33599999999999997</v>
      </c>
      <c r="T427" s="10">
        <f t="shared" si="47"/>
        <v>3.4140000000000001</v>
      </c>
      <c r="U427" s="9">
        <f t="shared" si="48"/>
        <v>0.91039999999999999</v>
      </c>
    </row>
    <row r="428" spans="1:21" x14ac:dyDescent="0.3">
      <c r="A428" s="1">
        <v>427</v>
      </c>
      <c r="B428" s="1" t="s">
        <v>679</v>
      </c>
      <c r="C428" s="4">
        <v>45339.455555555556</v>
      </c>
      <c r="D428" s="5">
        <f t="shared" si="42"/>
        <v>45339</v>
      </c>
      <c r="E428" s="3">
        <f t="shared" si="43"/>
        <v>10</v>
      </c>
      <c r="F428" s="1" t="str" cm="1">
        <f t="array" ref="F428">_xlfn.IFS(
E428&lt;11,"Morning",
E428&lt;15,"Afternoon",
TRUE,"Evening"
)</f>
        <v>Morning</v>
      </c>
      <c r="G428" s="3" t="str">
        <f t="shared" si="44"/>
        <v>Sat</v>
      </c>
      <c r="H428" s="1" t="s">
        <v>680</v>
      </c>
      <c r="I428" s="1" t="s">
        <v>149</v>
      </c>
      <c r="J428" s="1" t="s">
        <v>115</v>
      </c>
      <c r="K428" s="1" t="str">
        <f>_xlfn.XLOOKUP($J428, items_clean!$A:$A, items_clean!$B:$B, "")</f>
        <v>HDR-MOC-LG</v>
      </c>
      <c r="L428" s="1" t="str">
        <f>_xlfn.XLOOKUP($J428, items_clean!$A:$A, items_clean!$C:$C, "")</f>
        <v>Mocha</v>
      </c>
      <c r="M428" s="1" t="str">
        <f>_xlfn.XLOOKUP($J428, items_clean!$A:$A, items_clean!$D:$D, "")</f>
        <v>Hot Drinks</v>
      </c>
      <c r="N428" s="1" t="str">
        <f>_xlfn.XLOOKUP($J428, items_clean!$A:$A, items_clean!$E:$E, "")</f>
        <v>Large</v>
      </c>
      <c r="O428" s="3">
        <v>1</v>
      </c>
      <c r="P428" s="2">
        <f>_xlfn.XLOOKUP($J428, items_clean!$A:$A, items_clean!$F:$F, "")</f>
        <v>4.5999999999999996</v>
      </c>
      <c r="Q428" s="2">
        <f t="shared" si="45"/>
        <v>4.5999999999999996</v>
      </c>
      <c r="R428" s="7">
        <f>_xlfn.XLOOKUP(K428, recipe_cost!$A:$A, recipe_cost!$B:$B, "")</f>
        <v>0.56669999999999998</v>
      </c>
      <c r="S428" s="10">
        <f t="shared" si="46"/>
        <v>0.56669999999999998</v>
      </c>
      <c r="T428" s="10">
        <f t="shared" si="47"/>
        <v>4.0332999999999997</v>
      </c>
      <c r="U428" s="9">
        <f t="shared" si="48"/>
        <v>0.87680434782608696</v>
      </c>
    </row>
    <row r="429" spans="1:21" x14ac:dyDescent="0.3">
      <c r="A429" s="1">
        <v>428</v>
      </c>
      <c r="B429" s="1" t="s">
        <v>681</v>
      </c>
      <c r="C429" s="4">
        <v>45339.466666666667</v>
      </c>
      <c r="D429" s="5">
        <f t="shared" si="42"/>
        <v>45339</v>
      </c>
      <c r="E429" s="3">
        <f t="shared" si="43"/>
        <v>11</v>
      </c>
      <c r="F429" s="1" t="str" cm="1">
        <f t="array" ref="F429">_xlfn.IFS(
E429&lt;11,"Morning",
E429&lt;15,"Afternoon",
TRUE,"Evening"
)</f>
        <v>Afternoon</v>
      </c>
      <c r="G429" s="3" t="str">
        <f t="shared" si="44"/>
        <v>Sat</v>
      </c>
      <c r="H429" s="1" t="s">
        <v>440</v>
      </c>
      <c r="I429" s="1" t="s">
        <v>146</v>
      </c>
      <c r="J429" s="1" t="s">
        <v>105</v>
      </c>
      <c r="K429" s="1" t="str">
        <f>_xlfn.XLOOKUP($J429, items_clean!$A:$A, items_clean!$B:$B, "")</f>
        <v>HDR-FLT</v>
      </c>
      <c r="L429" s="1" t="str">
        <f>_xlfn.XLOOKUP($J429, items_clean!$A:$A, items_clean!$C:$C, "")</f>
        <v>Flat White</v>
      </c>
      <c r="M429" s="1" t="str">
        <f>_xlfn.XLOOKUP($J429, items_clean!$A:$A, items_clean!$D:$D, "")</f>
        <v>Hot Drinks</v>
      </c>
      <c r="N429" s="1" t="str">
        <f>_xlfn.XLOOKUP($J429, items_clean!$A:$A, items_clean!$E:$E, "")</f>
        <v>N/A</v>
      </c>
      <c r="O429" s="3">
        <v>1</v>
      </c>
      <c r="P429" s="2">
        <f>_xlfn.XLOOKUP($J429, items_clean!$A:$A, items_clean!$F:$F, "")</f>
        <v>3.15</v>
      </c>
      <c r="Q429" s="2">
        <f t="shared" si="45"/>
        <v>3.15</v>
      </c>
      <c r="R429" s="7">
        <f>_xlfn.XLOOKUP(K429, recipe_cost!$A:$A, recipe_cost!$B:$B, "")</f>
        <v>0.28799999999999998</v>
      </c>
      <c r="S429" s="10">
        <f t="shared" si="46"/>
        <v>0.28799999999999998</v>
      </c>
      <c r="T429" s="10">
        <f t="shared" si="47"/>
        <v>2.8620000000000001</v>
      </c>
      <c r="U429" s="9">
        <f t="shared" si="48"/>
        <v>0.90857142857142859</v>
      </c>
    </row>
    <row r="430" spans="1:21" x14ac:dyDescent="0.3">
      <c r="A430" s="1">
        <v>429</v>
      </c>
      <c r="B430" s="1" t="s">
        <v>683</v>
      </c>
      <c r="C430" s="4">
        <v>45339.488888888889</v>
      </c>
      <c r="D430" s="5">
        <f t="shared" si="42"/>
        <v>45339</v>
      </c>
      <c r="E430" s="3">
        <f t="shared" si="43"/>
        <v>11</v>
      </c>
      <c r="F430" s="1" t="str" cm="1">
        <f t="array" ref="F430">_xlfn.IFS(
E430&lt;11,"Morning",
E430&lt;15,"Afternoon",
TRUE,"Evening"
)</f>
        <v>Afternoon</v>
      </c>
      <c r="G430" s="3" t="str">
        <f t="shared" si="44"/>
        <v>Sat</v>
      </c>
      <c r="H430" s="1" t="s">
        <v>444</v>
      </c>
      <c r="I430" s="1" t="s">
        <v>146</v>
      </c>
      <c r="J430" s="1" t="s">
        <v>119</v>
      </c>
      <c r="K430" s="1" t="str">
        <f>_xlfn.XLOOKUP($J430, items_clean!$A:$A, items_clean!$B:$B, "")</f>
        <v>HDR-HCH-MD</v>
      </c>
      <c r="L430" s="1" t="str">
        <f>_xlfn.XLOOKUP($J430, items_clean!$A:$A, items_clean!$C:$C, "")</f>
        <v>Hot Chocolate</v>
      </c>
      <c r="M430" s="1" t="str">
        <f>_xlfn.XLOOKUP($J430, items_clean!$A:$A, items_clean!$D:$D, "")</f>
        <v>Hot Drinks</v>
      </c>
      <c r="N430" s="1" t="str">
        <f>_xlfn.XLOOKUP($J430, items_clean!$A:$A, items_clean!$E:$E, "")</f>
        <v>Medium</v>
      </c>
      <c r="O430" s="3">
        <v>1</v>
      </c>
      <c r="P430" s="2">
        <f>_xlfn.XLOOKUP($J430, items_clean!$A:$A, items_clean!$F:$F, "")</f>
        <v>4.2</v>
      </c>
      <c r="Q430" s="2">
        <f t="shared" si="45"/>
        <v>4.2</v>
      </c>
      <c r="R430" s="7">
        <f>_xlfn.XLOOKUP(K430, recipe_cost!$A:$A, recipe_cost!$B:$B, "")</f>
        <v>1.0509999999999999</v>
      </c>
      <c r="S430" s="10">
        <f t="shared" si="46"/>
        <v>1.0509999999999999</v>
      </c>
      <c r="T430" s="10">
        <f t="shared" si="47"/>
        <v>3.149</v>
      </c>
      <c r="U430" s="9">
        <f t="shared" si="48"/>
        <v>0.74976190476190474</v>
      </c>
    </row>
    <row r="431" spans="1:21" x14ac:dyDescent="0.3">
      <c r="A431" s="1">
        <v>430</v>
      </c>
      <c r="B431" s="1" t="s">
        <v>684</v>
      </c>
      <c r="C431" s="4">
        <v>45339.5</v>
      </c>
      <c r="D431" s="5">
        <f t="shared" si="42"/>
        <v>45339</v>
      </c>
      <c r="E431" s="3">
        <f t="shared" si="43"/>
        <v>12</v>
      </c>
      <c r="F431" s="1" t="str" cm="1">
        <f t="array" ref="F431">_xlfn.IFS(
E431&lt;11,"Morning",
E431&lt;15,"Afternoon",
TRUE,"Evening"
)</f>
        <v>Afternoon</v>
      </c>
      <c r="G431" s="3" t="str">
        <f t="shared" si="44"/>
        <v>Sat</v>
      </c>
      <c r="H431" s="1" t="s">
        <v>446</v>
      </c>
      <c r="I431" s="1" t="s">
        <v>149</v>
      </c>
      <c r="J431" s="1" t="s">
        <v>132</v>
      </c>
      <c r="K431" s="1" t="str">
        <f>_xlfn.XLOOKUP($J431, items_clean!$A:$A, items_clean!$B:$B, "")</f>
        <v>CDR-LMN-MD</v>
      </c>
      <c r="L431" s="1" t="str">
        <f>_xlfn.XLOOKUP($J431, items_clean!$A:$A, items_clean!$C:$C, "")</f>
        <v>Lemonade</v>
      </c>
      <c r="M431" s="1" t="str">
        <f>_xlfn.XLOOKUP($J431, items_clean!$A:$A, items_clean!$D:$D, "")</f>
        <v>Cold Drinks</v>
      </c>
      <c r="N431" s="1" t="str">
        <f>_xlfn.XLOOKUP($J431, items_clean!$A:$A, items_clean!$E:$E, "")</f>
        <v>Medium</v>
      </c>
      <c r="O431" s="3">
        <v>1</v>
      </c>
      <c r="P431" s="2">
        <f>_xlfn.XLOOKUP($J431, items_clean!$A:$A, items_clean!$F:$F, "")</f>
        <v>3.35</v>
      </c>
      <c r="Q431" s="2">
        <f t="shared" si="45"/>
        <v>3.35</v>
      </c>
      <c r="R431" s="7">
        <f>_xlfn.XLOOKUP(K431, recipe_cost!$A:$A, recipe_cost!$B:$B, "")</f>
        <v>0.34499999999999997</v>
      </c>
      <c r="S431" s="10">
        <f t="shared" si="46"/>
        <v>0.34499999999999997</v>
      </c>
      <c r="T431" s="10">
        <f t="shared" si="47"/>
        <v>3.0049999999999999</v>
      </c>
      <c r="U431" s="9">
        <f t="shared" si="48"/>
        <v>0.89701492537313432</v>
      </c>
    </row>
    <row r="432" spans="1:21" x14ac:dyDescent="0.3">
      <c r="A432" s="1">
        <v>431</v>
      </c>
      <c r="B432" s="1" t="s">
        <v>685</v>
      </c>
      <c r="C432" s="4">
        <v>45339.511111111111</v>
      </c>
      <c r="D432" s="5">
        <f t="shared" si="42"/>
        <v>45339</v>
      </c>
      <c r="E432" s="3">
        <f t="shared" si="43"/>
        <v>12</v>
      </c>
      <c r="F432" s="1" t="str" cm="1">
        <f t="array" ref="F432">_xlfn.IFS(
E432&lt;11,"Morning",
E432&lt;15,"Afternoon",
TRUE,"Evening"
)</f>
        <v>Afternoon</v>
      </c>
      <c r="G432" s="3" t="str">
        <f t="shared" si="44"/>
        <v>Sat</v>
      </c>
      <c r="H432" s="1" t="s">
        <v>686</v>
      </c>
      <c r="I432" s="1" t="s">
        <v>146</v>
      </c>
      <c r="J432" s="1" t="s">
        <v>126</v>
      </c>
      <c r="K432" s="1" t="str">
        <f>_xlfn.XLOOKUP($J432, items_clean!$A:$A, items_clean!$B:$B, "")</f>
        <v>CDR-CMO-MD</v>
      </c>
      <c r="L432" s="1" t="str">
        <f>_xlfn.XLOOKUP($J432, items_clean!$A:$A, items_clean!$C:$C, "")</f>
        <v>Cold Mocha</v>
      </c>
      <c r="M432" s="1" t="str">
        <f>_xlfn.XLOOKUP($J432, items_clean!$A:$A, items_clean!$D:$D, "")</f>
        <v>Cold Drinks</v>
      </c>
      <c r="N432" s="1" t="str">
        <f>_xlfn.XLOOKUP($J432, items_clean!$A:$A, items_clean!$E:$E, "")</f>
        <v>Medium</v>
      </c>
      <c r="O432" s="3">
        <v>1</v>
      </c>
      <c r="P432" s="2">
        <f>_xlfn.XLOOKUP($J432, items_clean!$A:$A, items_clean!$F:$F, "")</f>
        <v>4</v>
      </c>
      <c r="Q432" s="2">
        <f t="shared" si="45"/>
        <v>4</v>
      </c>
      <c r="R432" s="7">
        <f>_xlfn.XLOOKUP(K432, recipe_cost!$A:$A, recipe_cost!$B:$B, "")</f>
        <v>0.4098</v>
      </c>
      <c r="S432" s="10">
        <f t="shared" si="46"/>
        <v>0.4098</v>
      </c>
      <c r="T432" s="10">
        <f t="shared" si="47"/>
        <v>3.5901999999999998</v>
      </c>
      <c r="U432" s="9">
        <f t="shared" si="48"/>
        <v>0.89754999999999996</v>
      </c>
    </row>
    <row r="433" spans="1:21" x14ac:dyDescent="0.3">
      <c r="A433" s="1">
        <v>432</v>
      </c>
      <c r="B433" s="1" t="s">
        <v>687</v>
      </c>
      <c r="C433" s="4">
        <v>45339.5</v>
      </c>
      <c r="D433" s="5">
        <f t="shared" si="42"/>
        <v>45339</v>
      </c>
      <c r="E433" s="3">
        <f t="shared" si="43"/>
        <v>12</v>
      </c>
      <c r="F433" s="1" t="str" cm="1">
        <f t="array" ref="F433">_xlfn.IFS(
E433&lt;11,"Morning",
E433&lt;15,"Afternoon",
TRUE,"Evening"
)</f>
        <v>Afternoon</v>
      </c>
      <c r="G433" s="3" t="str">
        <f t="shared" si="44"/>
        <v>Sat</v>
      </c>
      <c r="H433" s="1" t="s">
        <v>493</v>
      </c>
      <c r="I433" s="1" t="s">
        <v>149</v>
      </c>
      <c r="J433" s="1" t="s">
        <v>134</v>
      </c>
      <c r="K433" s="1" t="str">
        <f>_xlfn.XLOOKUP($J433, items_clean!$A:$A, items_clean!$B:$B, "")</f>
        <v>CDR-LMN-LG</v>
      </c>
      <c r="L433" s="1" t="str">
        <f>_xlfn.XLOOKUP($J433, items_clean!$A:$A, items_clean!$C:$C, "")</f>
        <v>Lemonade</v>
      </c>
      <c r="M433" s="1" t="str">
        <f>_xlfn.XLOOKUP($J433, items_clean!$A:$A, items_clean!$D:$D, "")</f>
        <v>Cold Drinks</v>
      </c>
      <c r="N433" s="1" t="str">
        <f>_xlfn.XLOOKUP($J433, items_clean!$A:$A, items_clean!$E:$E, "")</f>
        <v>Large</v>
      </c>
      <c r="O433" s="3">
        <v>1</v>
      </c>
      <c r="P433" s="2">
        <f>_xlfn.XLOOKUP($J433, items_clean!$A:$A, items_clean!$F:$F, "")</f>
        <v>3.75</v>
      </c>
      <c r="Q433" s="2">
        <f t="shared" si="45"/>
        <v>3.75</v>
      </c>
      <c r="R433" s="7">
        <f>_xlfn.XLOOKUP(K433, recipe_cost!$A:$A, recipe_cost!$B:$B, "")</f>
        <v>0.36</v>
      </c>
      <c r="S433" s="10">
        <f t="shared" si="46"/>
        <v>0.36</v>
      </c>
      <c r="T433" s="10">
        <f t="shared" si="47"/>
        <v>3.39</v>
      </c>
      <c r="U433" s="9">
        <f t="shared" si="48"/>
        <v>0.90400000000000003</v>
      </c>
    </row>
    <row r="434" spans="1:21" x14ac:dyDescent="0.3">
      <c r="A434" s="1">
        <v>433</v>
      </c>
      <c r="B434" s="1" t="s">
        <v>688</v>
      </c>
      <c r="C434" s="4">
        <v>45339.504861111112</v>
      </c>
      <c r="D434" s="5">
        <f t="shared" si="42"/>
        <v>45339</v>
      </c>
      <c r="E434" s="3">
        <f t="shared" si="43"/>
        <v>12</v>
      </c>
      <c r="F434" s="1" t="str" cm="1">
        <f t="array" ref="F434">_xlfn.IFS(
E434&lt;11,"Morning",
E434&lt;15,"Afternoon",
TRUE,"Evening"
)</f>
        <v>Afternoon</v>
      </c>
      <c r="G434" s="3" t="str">
        <f t="shared" si="44"/>
        <v>Sat</v>
      </c>
      <c r="H434" s="1" t="s">
        <v>564</v>
      </c>
      <c r="I434" s="1" t="s">
        <v>146</v>
      </c>
      <c r="J434" s="1" t="s">
        <v>104</v>
      </c>
      <c r="K434" s="1" t="str">
        <f>_xlfn.XLOOKUP($J434, items_clean!$A:$A, items_clean!$B:$B, "")</f>
        <v>HDR-LAT-LG</v>
      </c>
      <c r="L434" s="1" t="str">
        <f>_xlfn.XLOOKUP($J434, items_clean!$A:$A, items_clean!$C:$C, "")</f>
        <v>Latte</v>
      </c>
      <c r="M434" s="1" t="str">
        <f>_xlfn.XLOOKUP($J434, items_clean!$A:$A, items_clean!$D:$D, "")</f>
        <v>Hot Drinks</v>
      </c>
      <c r="N434" s="1" t="str">
        <f>_xlfn.XLOOKUP($J434, items_clean!$A:$A, items_clean!$E:$E, "")</f>
        <v>Large</v>
      </c>
      <c r="O434" s="3">
        <v>1</v>
      </c>
      <c r="P434" s="2">
        <f>_xlfn.XLOOKUP($J434, items_clean!$A:$A, items_clean!$F:$F, "")</f>
        <v>3.75</v>
      </c>
      <c r="Q434" s="2">
        <f t="shared" si="45"/>
        <v>3.75</v>
      </c>
      <c r="R434" s="7">
        <f>_xlfn.XLOOKUP(K434, recipe_cost!$A:$A, recipe_cost!$B:$B, "")</f>
        <v>0.33599999999999997</v>
      </c>
      <c r="S434" s="10">
        <f t="shared" si="46"/>
        <v>0.33599999999999997</v>
      </c>
      <c r="T434" s="10">
        <f t="shared" si="47"/>
        <v>3.4140000000000001</v>
      </c>
      <c r="U434" s="9">
        <f t="shared" si="48"/>
        <v>0.91039999999999999</v>
      </c>
    </row>
    <row r="435" spans="1:21" x14ac:dyDescent="0.3">
      <c r="A435" s="1">
        <v>434</v>
      </c>
      <c r="B435" s="1" t="s">
        <v>688</v>
      </c>
      <c r="C435" s="4">
        <v>45339.504861111112</v>
      </c>
      <c r="D435" s="5">
        <f t="shared" si="42"/>
        <v>45339</v>
      </c>
      <c r="E435" s="3">
        <f t="shared" si="43"/>
        <v>12</v>
      </c>
      <c r="F435" s="1" t="str" cm="1">
        <f t="array" ref="F435">_xlfn.IFS(
E435&lt;11,"Morning",
E435&lt;15,"Afternoon",
TRUE,"Evening"
)</f>
        <v>Afternoon</v>
      </c>
      <c r="G435" s="3" t="str">
        <f t="shared" si="44"/>
        <v>Sat</v>
      </c>
      <c r="H435" s="1" t="s">
        <v>564</v>
      </c>
      <c r="I435" s="1" t="s">
        <v>778</v>
      </c>
      <c r="J435" s="1" t="s">
        <v>108</v>
      </c>
      <c r="K435" s="1" t="str">
        <f>_xlfn.XLOOKUP($J435, items_clean!$A:$A, items_clean!$B:$B, "")</f>
        <v>HDR-CRM-MD</v>
      </c>
      <c r="L435" s="1" t="str">
        <f>_xlfn.XLOOKUP($J435, items_clean!$A:$A, items_clean!$C:$C, "")</f>
        <v>Caramel Macchiato</v>
      </c>
      <c r="M435" s="1" t="str">
        <f>_xlfn.XLOOKUP($J435, items_clean!$A:$A, items_clean!$D:$D, "")</f>
        <v>Hot Drinks</v>
      </c>
      <c r="N435" s="1" t="str">
        <f>_xlfn.XLOOKUP($J435, items_clean!$A:$A, items_clean!$E:$E, "")</f>
        <v>Medium</v>
      </c>
      <c r="O435" s="3">
        <v>1</v>
      </c>
      <c r="P435" s="2">
        <f>_xlfn.XLOOKUP($J435, items_clean!$A:$A, items_clean!$F:$F, "")</f>
        <v>4.2</v>
      </c>
      <c r="Q435" s="2">
        <f t="shared" si="45"/>
        <v>4.2</v>
      </c>
      <c r="R435" s="7">
        <f>_xlfn.XLOOKUP(K435, recipe_cost!$A:$A, recipe_cost!$B:$B, "")</f>
        <v>0.4098</v>
      </c>
      <c r="S435" s="10">
        <f t="shared" si="46"/>
        <v>0.4098</v>
      </c>
      <c r="T435" s="10">
        <f t="shared" si="47"/>
        <v>3.7902</v>
      </c>
      <c r="U435" s="9">
        <f t="shared" si="48"/>
        <v>0.90242857142857136</v>
      </c>
    </row>
    <row r="436" spans="1:21" x14ac:dyDescent="0.3">
      <c r="A436" s="1">
        <v>435</v>
      </c>
      <c r="B436" s="1" t="s">
        <v>689</v>
      </c>
      <c r="C436" s="4">
        <v>45339.509722222225</v>
      </c>
      <c r="D436" s="5">
        <f t="shared" si="42"/>
        <v>45339</v>
      </c>
      <c r="E436" s="3">
        <f t="shared" si="43"/>
        <v>12</v>
      </c>
      <c r="F436" s="1" t="str" cm="1">
        <f t="array" ref="F436">_xlfn.IFS(
E436&lt;11,"Morning",
E436&lt;15,"Afternoon",
TRUE,"Evening"
)</f>
        <v>Afternoon</v>
      </c>
      <c r="G436" s="3" t="str">
        <f t="shared" si="44"/>
        <v>Sat</v>
      </c>
      <c r="H436" s="1" t="s">
        <v>566</v>
      </c>
      <c r="I436" s="1" t="s">
        <v>149</v>
      </c>
      <c r="J436" s="1" t="s">
        <v>128</v>
      </c>
      <c r="K436" s="1" t="str">
        <f>_xlfn.XLOOKUP($J436, items_clean!$A:$A, items_clean!$B:$B, "")</f>
        <v>CDR-CMO-LG</v>
      </c>
      <c r="L436" s="1" t="str">
        <f>_xlfn.XLOOKUP($J436, items_clean!$A:$A, items_clean!$C:$C, "")</f>
        <v>Cold Mocha</v>
      </c>
      <c r="M436" s="1" t="str">
        <f>_xlfn.XLOOKUP($J436, items_clean!$A:$A, items_clean!$D:$D, "")</f>
        <v>Cold Drinks</v>
      </c>
      <c r="N436" s="1" t="str">
        <f>_xlfn.XLOOKUP($J436, items_clean!$A:$A, items_clean!$E:$E, "")</f>
        <v>Large</v>
      </c>
      <c r="O436" s="3">
        <v>1</v>
      </c>
      <c r="P436" s="2">
        <f>_xlfn.XLOOKUP($J436, items_clean!$A:$A, items_clean!$F:$F, "")</f>
        <v>4.5999999999999996</v>
      </c>
      <c r="Q436" s="2">
        <f t="shared" si="45"/>
        <v>4.5999999999999996</v>
      </c>
      <c r="R436" s="7">
        <f>_xlfn.XLOOKUP(K436, recipe_cost!$A:$A, recipe_cost!$B:$B, "")</f>
        <v>0.56669999999999998</v>
      </c>
      <c r="S436" s="10">
        <f t="shared" si="46"/>
        <v>0.56669999999999998</v>
      </c>
      <c r="T436" s="10">
        <f t="shared" si="47"/>
        <v>4.0332999999999997</v>
      </c>
      <c r="U436" s="9">
        <f t="shared" si="48"/>
        <v>0.87680434782608696</v>
      </c>
    </row>
    <row r="437" spans="1:21" x14ac:dyDescent="0.3">
      <c r="A437" s="1">
        <v>436</v>
      </c>
      <c r="B437" s="1" t="s">
        <v>690</v>
      </c>
      <c r="C437" s="4">
        <v>45339.51458333333</v>
      </c>
      <c r="D437" s="5">
        <f t="shared" si="42"/>
        <v>45339</v>
      </c>
      <c r="E437" s="3">
        <f t="shared" si="43"/>
        <v>12</v>
      </c>
      <c r="F437" s="1" t="str" cm="1">
        <f t="array" ref="F437">_xlfn.IFS(
E437&lt;11,"Morning",
E437&lt;15,"Afternoon",
TRUE,"Evening"
)</f>
        <v>Afternoon</v>
      </c>
      <c r="G437" s="3" t="str">
        <f t="shared" si="44"/>
        <v>Sat</v>
      </c>
      <c r="H437" s="1" t="s">
        <v>455</v>
      </c>
      <c r="I437" s="1" t="s">
        <v>146</v>
      </c>
      <c r="J437" s="1" t="s">
        <v>116</v>
      </c>
      <c r="K437" s="1" t="str">
        <f>_xlfn.XLOOKUP($J437, items_clean!$A:$A, items_clean!$B:$B, "")</f>
        <v>HDR-WMO-MD</v>
      </c>
      <c r="L437" s="1" t="str">
        <f>_xlfn.XLOOKUP($J437, items_clean!$A:$A, items_clean!$C:$C, "")</f>
        <v>White Mocha</v>
      </c>
      <c r="M437" s="1" t="str">
        <f>_xlfn.XLOOKUP($J437, items_clean!$A:$A, items_clean!$D:$D, "")</f>
        <v>Hot Drinks</v>
      </c>
      <c r="N437" s="1" t="str">
        <f>_xlfn.XLOOKUP($J437, items_clean!$A:$A, items_clean!$E:$E, "")</f>
        <v>Medium</v>
      </c>
      <c r="O437" s="3">
        <v>1</v>
      </c>
      <c r="P437" s="2">
        <f>_xlfn.XLOOKUP($J437, items_clean!$A:$A, items_clean!$F:$F, "")</f>
        <v>4.5</v>
      </c>
      <c r="Q437" s="2">
        <f t="shared" si="45"/>
        <v>4.5</v>
      </c>
      <c r="R437" s="7">
        <f>_xlfn.XLOOKUP(K437, recipe_cost!$A:$A, recipe_cost!$B:$B, "")</f>
        <v>0.4098</v>
      </c>
      <c r="S437" s="10">
        <f t="shared" si="46"/>
        <v>0.4098</v>
      </c>
      <c r="T437" s="10">
        <f t="shared" si="47"/>
        <v>4.0902000000000003</v>
      </c>
      <c r="U437" s="9">
        <f t="shared" si="48"/>
        <v>0.90893333333333337</v>
      </c>
    </row>
    <row r="438" spans="1:21" x14ac:dyDescent="0.3">
      <c r="A438" s="1">
        <v>437</v>
      </c>
      <c r="B438" s="1" t="s">
        <v>691</v>
      </c>
      <c r="C438" s="4">
        <v>45339.519444444442</v>
      </c>
      <c r="D438" s="5">
        <f t="shared" si="42"/>
        <v>45339</v>
      </c>
      <c r="E438" s="3">
        <f t="shared" si="43"/>
        <v>12</v>
      </c>
      <c r="F438" s="1" t="str" cm="1">
        <f t="array" ref="F438">_xlfn.IFS(
E438&lt;11,"Morning",
E438&lt;15,"Afternoon",
TRUE,"Evening"
)</f>
        <v>Afternoon</v>
      </c>
      <c r="G438" s="3" t="str">
        <f t="shared" si="44"/>
        <v>Sat</v>
      </c>
      <c r="H438" s="1" t="s">
        <v>457</v>
      </c>
      <c r="I438" s="1" t="s">
        <v>149</v>
      </c>
      <c r="J438" s="1" t="s">
        <v>135</v>
      </c>
      <c r="K438" s="1" t="str">
        <f>_xlfn.XLOOKUP($J438, items_clean!$A:$A, items_clean!$B:$B, "")</f>
        <v>SNK-SHC</v>
      </c>
      <c r="L438" s="1" t="str">
        <f>_xlfn.XLOOKUP($J438, items_clean!$A:$A, items_clean!$C:$C, "")</f>
        <v>Sandwich Ham&amp;Cheese</v>
      </c>
      <c r="M438" s="1" t="str">
        <f>_xlfn.XLOOKUP($J438, items_clean!$A:$A, items_clean!$D:$D, "")</f>
        <v>Snacks</v>
      </c>
      <c r="N438" s="1" t="str">
        <f>_xlfn.XLOOKUP($J438, items_clean!$A:$A, items_clean!$E:$E, "")</f>
        <v>N/A</v>
      </c>
      <c r="O438" s="3">
        <v>1</v>
      </c>
      <c r="P438" s="2">
        <f>_xlfn.XLOOKUP($J438, items_clean!$A:$A, items_clean!$F:$F, "")</f>
        <v>5.6</v>
      </c>
      <c r="Q438" s="2">
        <f t="shared" si="45"/>
        <v>5.6</v>
      </c>
      <c r="R438" s="7">
        <f>_xlfn.XLOOKUP(K438, recipe_cost!$A:$A, recipe_cost!$B:$B, "")</f>
        <v>2.0105</v>
      </c>
      <c r="S438" s="10">
        <f t="shared" si="46"/>
        <v>2.0105</v>
      </c>
      <c r="T438" s="10">
        <f t="shared" si="47"/>
        <v>3.5894999999999997</v>
      </c>
      <c r="U438" s="9">
        <f t="shared" si="48"/>
        <v>0.64098214285714283</v>
      </c>
    </row>
    <row r="439" spans="1:21" x14ac:dyDescent="0.3">
      <c r="A439" s="1">
        <v>438</v>
      </c>
      <c r="B439" s="1" t="s">
        <v>692</v>
      </c>
      <c r="C439" s="4">
        <v>45339.524305555555</v>
      </c>
      <c r="D439" s="5">
        <f t="shared" si="42"/>
        <v>45339</v>
      </c>
      <c r="E439" s="3">
        <f t="shared" si="43"/>
        <v>12</v>
      </c>
      <c r="F439" s="1" t="str" cm="1">
        <f t="array" ref="F439">_xlfn.IFS(
E439&lt;11,"Morning",
E439&lt;15,"Afternoon",
TRUE,"Evening"
)</f>
        <v>Afternoon</v>
      </c>
      <c r="G439" s="3" t="str">
        <f t="shared" si="44"/>
        <v>Sat</v>
      </c>
      <c r="H439" s="1" t="s">
        <v>459</v>
      </c>
      <c r="I439" s="1" t="s">
        <v>146</v>
      </c>
      <c r="J439" s="1" t="s">
        <v>113</v>
      </c>
      <c r="K439" s="1" t="str">
        <f>_xlfn.XLOOKUP($J439, items_clean!$A:$A, items_clean!$B:$B, "")</f>
        <v>HDR-MOC-MD</v>
      </c>
      <c r="L439" s="1" t="str">
        <f>_xlfn.XLOOKUP($J439, items_clean!$A:$A, items_clean!$C:$C, "")</f>
        <v>Mocha</v>
      </c>
      <c r="M439" s="1" t="str">
        <f>_xlfn.XLOOKUP($J439, items_clean!$A:$A, items_clean!$D:$D, "")</f>
        <v>Hot Drinks</v>
      </c>
      <c r="N439" s="1" t="str">
        <f>_xlfn.XLOOKUP($J439, items_clean!$A:$A, items_clean!$E:$E, "")</f>
        <v>Medium</v>
      </c>
      <c r="O439" s="3">
        <v>1</v>
      </c>
      <c r="P439" s="2">
        <f>_xlfn.XLOOKUP($J439, items_clean!$A:$A, items_clean!$F:$F, "")</f>
        <v>4</v>
      </c>
      <c r="Q439" s="2">
        <f t="shared" si="45"/>
        <v>4</v>
      </c>
      <c r="R439" s="7">
        <f>_xlfn.XLOOKUP(K439, recipe_cost!$A:$A, recipe_cost!$B:$B, "")</f>
        <v>0.4098</v>
      </c>
      <c r="S439" s="10">
        <f t="shared" si="46"/>
        <v>0.4098</v>
      </c>
      <c r="T439" s="10">
        <f t="shared" si="47"/>
        <v>3.5901999999999998</v>
      </c>
      <c r="U439" s="9">
        <f t="shared" si="48"/>
        <v>0.89754999999999996</v>
      </c>
    </row>
    <row r="440" spans="1:21" x14ac:dyDescent="0.3">
      <c r="A440" s="1">
        <v>439</v>
      </c>
      <c r="B440" s="1" t="s">
        <v>693</v>
      </c>
      <c r="C440" s="4">
        <v>45339.529166666667</v>
      </c>
      <c r="D440" s="5">
        <f t="shared" si="42"/>
        <v>45339</v>
      </c>
      <c r="E440" s="3">
        <f t="shared" si="43"/>
        <v>12</v>
      </c>
      <c r="F440" s="1" t="str" cm="1">
        <f t="array" ref="F440">_xlfn.IFS(
E440&lt;11,"Morning",
E440&lt;15,"Afternoon",
TRUE,"Evening"
)</f>
        <v>Afternoon</v>
      </c>
      <c r="G440" s="3" t="str">
        <f t="shared" si="44"/>
        <v>Sat</v>
      </c>
      <c r="H440" s="1" t="s">
        <v>461</v>
      </c>
      <c r="I440" s="1" t="s">
        <v>149</v>
      </c>
      <c r="J440" s="1" t="s">
        <v>122</v>
      </c>
      <c r="K440" s="1" t="str">
        <f>_xlfn.XLOOKUP($J440, items_clean!$A:$A, items_clean!$B:$B, "")</f>
        <v>CDR-CCF-MD</v>
      </c>
      <c r="L440" s="1" t="str">
        <f>_xlfn.XLOOKUP($J440, items_clean!$A:$A, items_clean!$C:$C, "")</f>
        <v>Cold Coffee</v>
      </c>
      <c r="M440" s="1" t="str">
        <f>_xlfn.XLOOKUP($J440, items_clean!$A:$A, items_clean!$D:$D, "")</f>
        <v>Cold Drinks</v>
      </c>
      <c r="N440" s="1" t="str">
        <f>_xlfn.XLOOKUP($J440, items_clean!$A:$A, items_clean!$E:$E, "")</f>
        <v>Medium</v>
      </c>
      <c r="O440" s="3">
        <v>1</v>
      </c>
      <c r="P440" s="2">
        <f>_xlfn.XLOOKUP($J440, items_clean!$A:$A, items_clean!$F:$F, "")</f>
        <v>3.45</v>
      </c>
      <c r="Q440" s="2">
        <f t="shared" si="45"/>
        <v>3.45</v>
      </c>
      <c r="R440" s="7">
        <f>_xlfn.XLOOKUP(K440, recipe_cost!$A:$A, recipe_cost!$B:$B, "")</f>
        <v>0.252</v>
      </c>
      <c r="S440" s="10">
        <f t="shared" si="46"/>
        <v>0.252</v>
      </c>
      <c r="T440" s="10">
        <f t="shared" si="47"/>
        <v>3.1980000000000004</v>
      </c>
      <c r="U440" s="9">
        <f t="shared" si="48"/>
        <v>0.92695652173913046</v>
      </c>
    </row>
    <row r="441" spans="1:21" x14ac:dyDescent="0.3">
      <c r="A441" s="1">
        <v>440</v>
      </c>
      <c r="B441" s="1" t="s">
        <v>696</v>
      </c>
      <c r="C441" s="4">
        <v>45339.538888888892</v>
      </c>
      <c r="D441" s="5">
        <f t="shared" si="42"/>
        <v>45339</v>
      </c>
      <c r="E441" s="3">
        <f t="shared" si="43"/>
        <v>12</v>
      </c>
      <c r="F441" s="1" t="str" cm="1">
        <f t="array" ref="F441">_xlfn.IFS(
E441&lt;11,"Morning",
E441&lt;15,"Afternoon",
TRUE,"Evening"
)</f>
        <v>Afternoon</v>
      </c>
      <c r="G441" s="3" t="str">
        <f t="shared" si="44"/>
        <v>Sat</v>
      </c>
      <c r="H441" s="1" t="s">
        <v>163</v>
      </c>
      <c r="I441" s="1" t="s">
        <v>149</v>
      </c>
      <c r="J441" s="1" t="s">
        <v>102</v>
      </c>
      <c r="K441" s="1" t="str">
        <f>_xlfn.XLOOKUP($J441, items_clean!$A:$A, items_clean!$B:$B, "")</f>
        <v>HDR-LAT-MD</v>
      </c>
      <c r="L441" s="1" t="str">
        <f>_xlfn.XLOOKUP($J441, items_clean!$A:$A, items_clean!$C:$C, "")</f>
        <v>Latte</v>
      </c>
      <c r="M441" s="1" t="str">
        <f>_xlfn.XLOOKUP($J441, items_clean!$A:$A, items_clean!$D:$D, "")</f>
        <v>Hot Drinks</v>
      </c>
      <c r="N441" s="1" t="str">
        <f>_xlfn.XLOOKUP($J441, items_clean!$A:$A, items_clean!$E:$E, "")</f>
        <v>Medium</v>
      </c>
      <c r="O441" s="3">
        <v>1</v>
      </c>
      <c r="P441" s="2">
        <f>_xlfn.XLOOKUP($J441, items_clean!$A:$A, items_clean!$F:$F, "")</f>
        <v>3.45</v>
      </c>
      <c r="Q441" s="2">
        <f t="shared" si="45"/>
        <v>3.45</v>
      </c>
      <c r="R441" s="7">
        <f>_xlfn.XLOOKUP(K441, recipe_cost!$A:$A, recipe_cost!$B:$B, "")</f>
        <v>0.252</v>
      </c>
      <c r="S441" s="10">
        <f t="shared" si="46"/>
        <v>0.252</v>
      </c>
      <c r="T441" s="10">
        <f t="shared" si="47"/>
        <v>3.1980000000000004</v>
      </c>
      <c r="U441" s="9">
        <f t="shared" si="48"/>
        <v>0.92695652173913046</v>
      </c>
    </row>
    <row r="442" spans="1:21" x14ac:dyDescent="0.3">
      <c r="A442" s="1">
        <v>441</v>
      </c>
      <c r="B442" s="1" t="s">
        <v>697</v>
      </c>
      <c r="C442" s="4">
        <v>45339.543749999997</v>
      </c>
      <c r="D442" s="5">
        <f t="shared" si="42"/>
        <v>45339</v>
      </c>
      <c r="E442" s="3">
        <f t="shared" si="43"/>
        <v>13</v>
      </c>
      <c r="F442" s="1" t="str" cm="1">
        <f t="array" ref="F442">_xlfn.IFS(
E442&lt;11,"Morning",
E442&lt;15,"Afternoon",
TRUE,"Evening"
)</f>
        <v>Afternoon</v>
      </c>
      <c r="G442" s="3" t="str">
        <f t="shared" si="44"/>
        <v>Sat</v>
      </c>
      <c r="H442" s="1" t="s">
        <v>424</v>
      </c>
      <c r="I442" s="1" t="s">
        <v>146</v>
      </c>
      <c r="J442" s="1" t="s">
        <v>131</v>
      </c>
      <c r="K442" s="1" t="str">
        <f>_xlfn.XLOOKUP($J442, items_clean!$A:$A, items_clean!$B:$B, "")</f>
        <v>CDR-ICT-LG</v>
      </c>
      <c r="L442" s="1" t="str">
        <f>_xlfn.XLOOKUP($J442, items_clean!$A:$A, items_clean!$C:$C, "")</f>
        <v>Iced Tea</v>
      </c>
      <c r="M442" s="1" t="str">
        <f>_xlfn.XLOOKUP($J442, items_clean!$A:$A, items_clean!$D:$D, "")</f>
        <v>Cold Drinks</v>
      </c>
      <c r="N442" s="1" t="str">
        <f>_xlfn.XLOOKUP($J442, items_clean!$A:$A, items_clean!$E:$E, "")</f>
        <v>Large</v>
      </c>
      <c r="O442" s="3">
        <v>1</v>
      </c>
      <c r="P442" s="2">
        <f>_xlfn.XLOOKUP($J442, items_clean!$A:$A, items_clean!$F:$F, "")</f>
        <v>3.55</v>
      </c>
      <c r="Q442" s="2">
        <f t="shared" si="45"/>
        <v>3.55</v>
      </c>
      <c r="R442" s="7">
        <f>_xlfn.XLOOKUP(K442, recipe_cost!$A:$A, recipe_cost!$B:$B, "")</f>
        <v>0.26984999999999998</v>
      </c>
      <c r="S442" s="10">
        <f t="shared" si="46"/>
        <v>0.26984999999999998</v>
      </c>
      <c r="T442" s="10">
        <f t="shared" si="47"/>
        <v>3.2801499999999999</v>
      </c>
      <c r="U442" s="9">
        <f t="shared" si="48"/>
        <v>0.92398591549295772</v>
      </c>
    </row>
    <row r="443" spans="1:21" x14ac:dyDescent="0.3">
      <c r="A443" s="1">
        <v>442</v>
      </c>
      <c r="B443" s="1" t="s">
        <v>697</v>
      </c>
      <c r="C443" s="4">
        <v>45339.543749999997</v>
      </c>
      <c r="D443" s="5">
        <f t="shared" si="42"/>
        <v>45339</v>
      </c>
      <c r="E443" s="3">
        <f t="shared" si="43"/>
        <v>13</v>
      </c>
      <c r="F443" s="1" t="str" cm="1">
        <f t="array" ref="F443">_xlfn.IFS(
E443&lt;11,"Morning",
E443&lt;15,"Afternoon",
TRUE,"Evening"
)</f>
        <v>Afternoon</v>
      </c>
      <c r="G443" s="3" t="str">
        <f t="shared" si="44"/>
        <v>Sat</v>
      </c>
      <c r="H443" s="1" t="s">
        <v>424</v>
      </c>
      <c r="I443" s="1" t="s">
        <v>778</v>
      </c>
      <c r="J443" s="1" t="s">
        <v>121</v>
      </c>
      <c r="K443" s="1" t="str">
        <f>_xlfn.XLOOKUP($J443, items_clean!$A:$A, items_clean!$B:$B, "")</f>
        <v>HDR-HCH-LG</v>
      </c>
      <c r="L443" s="1" t="str">
        <f>_xlfn.XLOOKUP($J443, items_clean!$A:$A, items_clean!$C:$C, "")</f>
        <v>Hot Chocolate</v>
      </c>
      <c r="M443" s="1" t="str">
        <f>_xlfn.XLOOKUP($J443, items_clean!$A:$A, items_clean!$D:$D, "")</f>
        <v>Hot Drinks</v>
      </c>
      <c r="N443" s="1" t="str">
        <f>_xlfn.XLOOKUP($J443, items_clean!$A:$A, items_clean!$E:$E, "")</f>
        <v>Large</v>
      </c>
      <c r="O443" s="3">
        <v>1</v>
      </c>
      <c r="P443" s="2">
        <f>_xlfn.XLOOKUP($J443, items_clean!$A:$A, items_clean!$F:$F, "")</f>
        <v>4.5999999999999996</v>
      </c>
      <c r="Q443" s="2">
        <f t="shared" si="45"/>
        <v>4.5999999999999996</v>
      </c>
      <c r="R443" s="7">
        <f>_xlfn.XLOOKUP(K443, recipe_cost!$A:$A, recipe_cost!$B:$B, "")</f>
        <v>1.4809999999999999</v>
      </c>
      <c r="S443" s="10">
        <f t="shared" si="46"/>
        <v>1.4809999999999999</v>
      </c>
      <c r="T443" s="10">
        <f t="shared" si="47"/>
        <v>3.1189999999999998</v>
      </c>
      <c r="U443" s="9">
        <f t="shared" si="48"/>
        <v>0.67804347826086953</v>
      </c>
    </row>
    <row r="444" spans="1:21" x14ac:dyDescent="0.3">
      <c r="A444" s="1">
        <v>443</v>
      </c>
      <c r="B444" s="1" t="s">
        <v>698</v>
      </c>
      <c r="C444" s="4">
        <v>45339.548611111109</v>
      </c>
      <c r="D444" s="5">
        <f t="shared" si="42"/>
        <v>45339</v>
      </c>
      <c r="E444" s="3">
        <f t="shared" si="43"/>
        <v>13</v>
      </c>
      <c r="F444" s="1" t="str" cm="1">
        <f t="array" ref="F444">_xlfn.IFS(
E444&lt;11,"Morning",
E444&lt;15,"Afternoon",
TRUE,"Evening"
)</f>
        <v>Afternoon</v>
      </c>
      <c r="G444" s="3" t="str">
        <f t="shared" si="44"/>
        <v>Sat</v>
      </c>
      <c r="H444" s="1" t="s">
        <v>249</v>
      </c>
      <c r="I444" s="1" t="s">
        <v>149</v>
      </c>
      <c r="J444" s="1" t="s">
        <v>96</v>
      </c>
      <c r="K444" s="1" t="str">
        <f>_xlfn.XLOOKUP($J444, items_clean!$A:$A, items_clean!$B:$B, "")</f>
        <v>HDR-CAP-MD</v>
      </c>
      <c r="L444" s="1" t="str">
        <f>_xlfn.XLOOKUP($J444, items_clean!$A:$A, items_clean!$C:$C, "")</f>
        <v>Cappuccino</v>
      </c>
      <c r="M444" s="1" t="str">
        <f>_xlfn.XLOOKUP($J444, items_clean!$A:$A, items_clean!$D:$D, "")</f>
        <v>Hot Drinks</v>
      </c>
      <c r="N444" s="1" t="str">
        <f>_xlfn.XLOOKUP($J444, items_clean!$A:$A, items_clean!$E:$E, "")</f>
        <v>Medium</v>
      </c>
      <c r="O444" s="3">
        <v>1</v>
      </c>
      <c r="P444" s="2">
        <f>_xlfn.XLOOKUP($J444, items_clean!$A:$A, items_clean!$F:$F, "")</f>
        <v>3.45</v>
      </c>
      <c r="Q444" s="2">
        <f t="shared" si="45"/>
        <v>3.45</v>
      </c>
      <c r="R444" s="7">
        <f>_xlfn.XLOOKUP(K444, recipe_cost!$A:$A, recipe_cost!$B:$B, "")</f>
        <v>0.252</v>
      </c>
      <c r="S444" s="10">
        <f t="shared" si="46"/>
        <v>0.252</v>
      </c>
      <c r="T444" s="10">
        <f t="shared" si="47"/>
        <v>3.1980000000000004</v>
      </c>
      <c r="U444" s="9">
        <f t="shared" si="48"/>
        <v>0.92695652173913046</v>
      </c>
    </row>
    <row r="445" spans="1:21" x14ac:dyDescent="0.3">
      <c r="A445" s="1">
        <v>444</v>
      </c>
      <c r="B445" s="1" t="s">
        <v>699</v>
      </c>
      <c r="C445" s="4">
        <v>45339.553472222222</v>
      </c>
      <c r="D445" s="5">
        <f t="shared" si="42"/>
        <v>45339</v>
      </c>
      <c r="E445" s="3">
        <f t="shared" si="43"/>
        <v>13</v>
      </c>
      <c r="F445" s="1" t="str" cm="1">
        <f t="array" ref="F445">_xlfn.IFS(
E445&lt;11,"Morning",
E445&lt;15,"Afternoon",
TRUE,"Evening"
)</f>
        <v>Afternoon</v>
      </c>
      <c r="G445" s="3" t="str">
        <f t="shared" si="44"/>
        <v>Sat</v>
      </c>
      <c r="H445" s="1" t="s">
        <v>428</v>
      </c>
      <c r="I445" s="1" t="s">
        <v>146</v>
      </c>
      <c r="J445" s="1" t="s">
        <v>111</v>
      </c>
      <c r="K445" s="1" t="str">
        <f>_xlfn.XLOOKUP($J445, items_clean!$A:$A, items_clean!$B:$B, "")</f>
        <v>HDR-ESP</v>
      </c>
      <c r="L445" s="1" t="str">
        <f>_xlfn.XLOOKUP($J445, items_clean!$A:$A, items_clean!$C:$C, "")</f>
        <v>Espresso</v>
      </c>
      <c r="M445" s="1" t="str">
        <f>_xlfn.XLOOKUP($J445, items_clean!$A:$A, items_clean!$D:$D, "")</f>
        <v>Hot Drinks</v>
      </c>
      <c r="N445" s="1" t="str">
        <f>_xlfn.XLOOKUP($J445, items_clean!$A:$A, items_clean!$E:$E, "")</f>
        <v>N/A</v>
      </c>
      <c r="O445" s="3">
        <v>1</v>
      </c>
      <c r="P445" s="2">
        <f>_xlfn.XLOOKUP($J445, items_clean!$A:$A, items_clean!$F:$F, "")</f>
        <v>2.15</v>
      </c>
      <c r="Q445" s="2">
        <f t="shared" si="45"/>
        <v>2.15</v>
      </c>
      <c r="R445" s="7">
        <f>_xlfn.XLOOKUP(K445, recipe_cost!$A:$A, recipe_cost!$B:$B, "")</f>
        <v>9.6000000000000002E-2</v>
      </c>
      <c r="S445" s="10">
        <f t="shared" si="46"/>
        <v>9.6000000000000002E-2</v>
      </c>
      <c r="T445" s="10">
        <f t="shared" si="47"/>
        <v>2.0539999999999998</v>
      </c>
      <c r="U445" s="9">
        <f t="shared" si="48"/>
        <v>0.9553488372093023</v>
      </c>
    </row>
    <row r="446" spans="1:21" x14ac:dyDescent="0.3">
      <c r="A446" s="1">
        <v>445</v>
      </c>
      <c r="B446" s="1" t="s">
        <v>700</v>
      </c>
      <c r="C446" s="4">
        <v>45339.558333333334</v>
      </c>
      <c r="D446" s="5">
        <f t="shared" si="42"/>
        <v>45339</v>
      </c>
      <c r="E446" s="3">
        <f t="shared" si="43"/>
        <v>13</v>
      </c>
      <c r="F446" s="1" t="str" cm="1">
        <f t="array" ref="F446">_xlfn.IFS(
E446&lt;11,"Morning",
E446&lt;15,"Afternoon",
TRUE,"Evening"
)</f>
        <v>Afternoon</v>
      </c>
      <c r="G446" s="3" t="str">
        <f t="shared" si="44"/>
        <v>Sat</v>
      </c>
      <c r="H446" s="1" t="s">
        <v>430</v>
      </c>
      <c r="I446" s="1" t="s">
        <v>149</v>
      </c>
      <c r="J446" s="1" t="s">
        <v>126</v>
      </c>
      <c r="K446" s="1" t="str">
        <f>_xlfn.XLOOKUP($J446, items_clean!$A:$A, items_clean!$B:$B, "")</f>
        <v>CDR-CMO-MD</v>
      </c>
      <c r="L446" s="1" t="str">
        <f>_xlfn.XLOOKUP($J446, items_clean!$A:$A, items_clean!$C:$C, "")</f>
        <v>Cold Mocha</v>
      </c>
      <c r="M446" s="1" t="str">
        <f>_xlfn.XLOOKUP($J446, items_clean!$A:$A, items_clean!$D:$D, "")</f>
        <v>Cold Drinks</v>
      </c>
      <c r="N446" s="1" t="str">
        <f>_xlfn.XLOOKUP($J446, items_clean!$A:$A, items_clean!$E:$E, "")</f>
        <v>Medium</v>
      </c>
      <c r="O446" s="3">
        <v>1</v>
      </c>
      <c r="P446" s="2">
        <f>_xlfn.XLOOKUP($J446, items_clean!$A:$A, items_clean!$F:$F, "")</f>
        <v>4</v>
      </c>
      <c r="Q446" s="2">
        <f t="shared" si="45"/>
        <v>4</v>
      </c>
      <c r="R446" s="7">
        <f>_xlfn.XLOOKUP(K446, recipe_cost!$A:$A, recipe_cost!$B:$B, "")</f>
        <v>0.4098</v>
      </c>
      <c r="S446" s="10">
        <f t="shared" si="46"/>
        <v>0.4098</v>
      </c>
      <c r="T446" s="10">
        <f t="shared" si="47"/>
        <v>3.5901999999999998</v>
      </c>
      <c r="U446" s="9">
        <f t="shared" si="48"/>
        <v>0.89754999999999996</v>
      </c>
    </row>
    <row r="447" spans="1:21" x14ac:dyDescent="0.3">
      <c r="A447" s="1">
        <v>446</v>
      </c>
      <c r="B447" s="1" t="s">
        <v>701</v>
      </c>
      <c r="C447" s="4">
        <v>45339.563194444447</v>
      </c>
      <c r="D447" s="5">
        <f t="shared" si="42"/>
        <v>45339</v>
      </c>
      <c r="E447" s="3">
        <f t="shared" si="43"/>
        <v>13</v>
      </c>
      <c r="F447" s="1" t="str" cm="1">
        <f t="array" ref="F447">_xlfn.IFS(
E447&lt;11,"Morning",
E447&lt;15,"Afternoon",
TRUE,"Evening"
)</f>
        <v>Afternoon</v>
      </c>
      <c r="G447" s="3" t="str">
        <f t="shared" si="44"/>
        <v>Sat</v>
      </c>
      <c r="H447" s="1" t="s">
        <v>702</v>
      </c>
      <c r="I447" s="1" t="s">
        <v>146</v>
      </c>
      <c r="J447" s="1" t="s">
        <v>105</v>
      </c>
      <c r="K447" s="1" t="str">
        <f>_xlfn.XLOOKUP($J447, items_clean!$A:$A, items_clean!$B:$B, "")</f>
        <v>HDR-FLT</v>
      </c>
      <c r="L447" s="1" t="str">
        <f>_xlfn.XLOOKUP($J447, items_clean!$A:$A, items_clean!$C:$C, "")</f>
        <v>Flat White</v>
      </c>
      <c r="M447" s="1" t="str">
        <f>_xlfn.XLOOKUP($J447, items_clean!$A:$A, items_clean!$D:$D, "")</f>
        <v>Hot Drinks</v>
      </c>
      <c r="N447" s="1" t="str">
        <f>_xlfn.XLOOKUP($J447, items_clean!$A:$A, items_clean!$E:$E, "")</f>
        <v>N/A</v>
      </c>
      <c r="O447" s="3">
        <v>1</v>
      </c>
      <c r="P447" s="2">
        <f>_xlfn.XLOOKUP($J447, items_clean!$A:$A, items_clean!$F:$F, "")</f>
        <v>3.15</v>
      </c>
      <c r="Q447" s="2">
        <f t="shared" si="45"/>
        <v>3.15</v>
      </c>
      <c r="R447" s="7">
        <f>_xlfn.XLOOKUP(K447, recipe_cost!$A:$A, recipe_cost!$B:$B, "")</f>
        <v>0.28799999999999998</v>
      </c>
      <c r="S447" s="10">
        <f t="shared" si="46"/>
        <v>0.28799999999999998</v>
      </c>
      <c r="T447" s="10">
        <f t="shared" si="47"/>
        <v>2.8620000000000001</v>
      </c>
      <c r="U447" s="9">
        <f t="shared" si="48"/>
        <v>0.90857142857142859</v>
      </c>
    </row>
    <row r="448" spans="1:21" x14ac:dyDescent="0.3">
      <c r="A448" s="1">
        <v>447</v>
      </c>
      <c r="B448" s="1" t="s">
        <v>703</v>
      </c>
      <c r="C448" s="4">
        <v>45339.568055555559</v>
      </c>
      <c r="D448" s="5">
        <f t="shared" si="42"/>
        <v>45339</v>
      </c>
      <c r="E448" s="3">
        <f t="shared" si="43"/>
        <v>13</v>
      </c>
      <c r="F448" s="1" t="str" cm="1">
        <f t="array" ref="F448">_xlfn.IFS(
E448&lt;11,"Morning",
E448&lt;15,"Afternoon",
TRUE,"Evening"
)</f>
        <v>Afternoon</v>
      </c>
      <c r="G448" s="3" t="str">
        <f t="shared" si="44"/>
        <v>Sat</v>
      </c>
      <c r="H448" s="1" t="s">
        <v>434</v>
      </c>
      <c r="I448" s="1" t="s">
        <v>149</v>
      </c>
      <c r="J448" s="1" t="s">
        <v>118</v>
      </c>
      <c r="K448" s="1" t="str">
        <f>_xlfn.XLOOKUP($J448, items_clean!$A:$A, items_clean!$B:$B, "")</f>
        <v>HDR-WMO-LG</v>
      </c>
      <c r="L448" s="1" t="str">
        <f>_xlfn.XLOOKUP($J448, items_clean!$A:$A, items_clean!$C:$C, "")</f>
        <v>White Mocha</v>
      </c>
      <c r="M448" s="1" t="str">
        <f>_xlfn.XLOOKUP($J448, items_clean!$A:$A, items_clean!$D:$D, "")</f>
        <v>Hot Drinks</v>
      </c>
      <c r="N448" s="1" t="str">
        <f>_xlfn.XLOOKUP($J448, items_clean!$A:$A, items_clean!$E:$E, "")</f>
        <v>Large</v>
      </c>
      <c r="O448" s="3">
        <v>1</v>
      </c>
      <c r="P448" s="2">
        <f>_xlfn.XLOOKUP($J448, items_clean!$A:$A, items_clean!$F:$F, "")</f>
        <v>4.7</v>
      </c>
      <c r="Q448" s="2">
        <f t="shared" si="45"/>
        <v>4.7</v>
      </c>
      <c r="R448" s="7">
        <f>_xlfn.XLOOKUP(K448, recipe_cost!$A:$A, recipe_cost!$B:$B, "")</f>
        <v>0.56669999999999998</v>
      </c>
      <c r="S448" s="10">
        <f t="shared" si="46"/>
        <v>0.56669999999999998</v>
      </c>
      <c r="T448" s="10">
        <f t="shared" si="47"/>
        <v>4.1333000000000002</v>
      </c>
      <c r="U448" s="9">
        <f t="shared" si="48"/>
        <v>0.87942553191489359</v>
      </c>
    </row>
    <row r="449" spans="1:21" x14ac:dyDescent="0.3">
      <c r="A449" s="1">
        <v>448</v>
      </c>
      <c r="B449" s="1" t="s">
        <v>703</v>
      </c>
      <c r="C449" s="4">
        <v>45339.568055555559</v>
      </c>
      <c r="D449" s="5">
        <f t="shared" si="42"/>
        <v>45339</v>
      </c>
      <c r="E449" s="3">
        <f t="shared" si="43"/>
        <v>13</v>
      </c>
      <c r="F449" s="1" t="str" cm="1">
        <f t="array" ref="F449">_xlfn.IFS(
E449&lt;11,"Morning",
E449&lt;15,"Afternoon",
TRUE,"Evening"
)</f>
        <v>Afternoon</v>
      </c>
      <c r="G449" s="3" t="str">
        <f t="shared" si="44"/>
        <v>Sat</v>
      </c>
      <c r="H449" s="1" t="s">
        <v>434</v>
      </c>
      <c r="I449" s="1" t="s">
        <v>778</v>
      </c>
      <c r="J449" s="1" t="s">
        <v>138</v>
      </c>
      <c r="K449" s="1" t="str">
        <f>_xlfn.XLOOKUP($J449, items_clean!$A:$A, items_clean!$B:$B, "")</f>
        <v>SNK-SSM</v>
      </c>
      <c r="L449" s="1" t="str">
        <f>_xlfn.XLOOKUP($J449, items_clean!$A:$A, items_clean!$C:$C, "")</f>
        <v>Sandwich Salami&amp;Mozzarella</v>
      </c>
      <c r="M449" s="1" t="str">
        <f>_xlfn.XLOOKUP($J449, items_clean!$A:$A, items_clean!$D:$D, "")</f>
        <v>Snacks</v>
      </c>
      <c r="N449" s="1" t="str">
        <f>_xlfn.XLOOKUP($J449, items_clean!$A:$A, items_clean!$E:$E, "")</f>
        <v>N/A</v>
      </c>
      <c r="O449" s="3">
        <v>1</v>
      </c>
      <c r="P449" s="2">
        <f>_xlfn.XLOOKUP($J449, items_clean!$A:$A, items_clean!$F:$F, "")</f>
        <v>5.5</v>
      </c>
      <c r="Q449" s="2">
        <f t="shared" si="45"/>
        <v>5.5</v>
      </c>
      <c r="R449" s="7">
        <f>_xlfn.XLOOKUP(K449, recipe_cost!$A:$A, recipe_cost!$B:$B, "")</f>
        <v>1.3120000000000001</v>
      </c>
      <c r="S449" s="10">
        <f t="shared" si="46"/>
        <v>1.3120000000000001</v>
      </c>
      <c r="T449" s="10">
        <f t="shared" si="47"/>
        <v>4.1879999999999997</v>
      </c>
      <c r="U449" s="9">
        <f t="shared" si="48"/>
        <v>0.76145454545454538</v>
      </c>
    </row>
    <row r="450" spans="1:21" x14ac:dyDescent="0.3">
      <c r="A450" s="1">
        <v>449</v>
      </c>
      <c r="B450" s="1" t="s">
        <v>704</v>
      </c>
      <c r="C450" s="4">
        <v>45339.572916666664</v>
      </c>
      <c r="D450" s="5">
        <f t="shared" si="42"/>
        <v>45339</v>
      </c>
      <c r="E450" s="3">
        <f t="shared" si="43"/>
        <v>13</v>
      </c>
      <c r="F450" s="1" t="str" cm="1">
        <f t="array" ref="F450">_xlfn.IFS(
E450&lt;11,"Morning",
E450&lt;15,"Afternoon",
TRUE,"Evening"
)</f>
        <v>Afternoon</v>
      </c>
      <c r="G450" s="3" t="str">
        <f t="shared" si="44"/>
        <v>Sat</v>
      </c>
      <c r="H450" s="1" t="s">
        <v>472</v>
      </c>
      <c r="I450" s="1" t="s">
        <v>146</v>
      </c>
      <c r="J450" s="1" t="s">
        <v>115</v>
      </c>
      <c r="K450" s="1" t="str">
        <f>_xlfn.XLOOKUP($J450, items_clean!$A:$A, items_clean!$B:$B, "")</f>
        <v>HDR-MOC-LG</v>
      </c>
      <c r="L450" s="1" t="str">
        <f>_xlfn.XLOOKUP($J450, items_clean!$A:$A, items_clean!$C:$C, "")</f>
        <v>Mocha</v>
      </c>
      <c r="M450" s="1" t="str">
        <f>_xlfn.XLOOKUP($J450, items_clean!$A:$A, items_clean!$D:$D, "")</f>
        <v>Hot Drinks</v>
      </c>
      <c r="N450" s="1" t="str">
        <f>_xlfn.XLOOKUP($J450, items_clean!$A:$A, items_clean!$E:$E, "")</f>
        <v>Large</v>
      </c>
      <c r="O450" s="3">
        <v>1</v>
      </c>
      <c r="P450" s="2">
        <f>_xlfn.XLOOKUP($J450, items_clean!$A:$A, items_clean!$F:$F, "")</f>
        <v>4.5999999999999996</v>
      </c>
      <c r="Q450" s="2">
        <f t="shared" si="45"/>
        <v>4.5999999999999996</v>
      </c>
      <c r="R450" s="7">
        <f>_xlfn.XLOOKUP(K450, recipe_cost!$A:$A, recipe_cost!$B:$B, "")</f>
        <v>0.56669999999999998</v>
      </c>
      <c r="S450" s="10">
        <f t="shared" si="46"/>
        <v>0.56669999999999998</v>
      </c>
      <c r="T450" s="10">
        <f t="shared" si="47"/>
        <v>4.0332999999999997</v>
      </c>
      <c r="U450" s="9">
        <f t="shared" si="48"/>
        <v>0.87680434782608696</v>
      </c>
    </row>
    <row r="451" spans="1:21" x14ac:dyDescent="0.3">
      <c r="A451" s="1">
        <v>450</v>
      </c>
      <c r="B451" s="1" t="s">
        <v>707</v>
      </c>
      <c r="C451" s="4">
        <v>45339.582638888889</v>
      </c>
      <c r="D451" s="5">
        <f t="shared" ref="D451:D467" si="49">INT(C451)</f>
        <v>45339</v>
      </c>
      <c r="E451" s="3">
        <f t="shared" ref="E451:E467" si="50">HOUR(C451)</f>
        <v>13</v>
      </c>
      <c r="F451" s="1" t="str" cm="1">
        <f t="array" ref="F451">_xlfn.IFS(
E451&lt;11,"Morning",
E451&lt;15,"Afternoon",
TRUE,"Evening"
)</f>
        <v>Afternoon</v>
      </c>
      <c r="G451" s="3" t="str">
        <f t="shared" ref="G451:G467" si="51">TEXT(C451,"ddd")</f>
        <v>Sat</v>
      </c>
      <c r="H451" s="1" t="s">
        <v>546</v>
      </c>
      <c r="I451" s="1" t="s">
        <v>146</v>
      </c>
      <c r="J451" s="1" t="s">
        <v>129</v>
      </c>
      <c r="K451" s="1" t="str">
        <f>_xlfn.XLOOKUP($J451, items_clean!$A:$A, items_clean!$B:$B, "")</f>
        <v>CDR-ICT-MD</v>
      </c>
      <c r="L451" s="1" t="str">
        <f>_xlfn.XLOOKUP($J451, items_clean!$A:$A, items_clean!$C:$C, "")</f>
        <v>Iced Tea</v>
      </c>
      <c r="M451" s="1" t="str">
        <f>_xlfn.XLOOKUP($J451, items_clean!$A:$A, items_clean!$D:$D, "")</f>
        <v>Cold Drinks</v>
      </c>
      <c r="N451" s="1" t="str">
        <f>_xlfn.XLOOKUP($J451, items_clean!$A:$A, items_clean!$E:$E, "")</f>
        <v>Medium</v>
      </c>
      <c r="O451" s="3">
        <v>1</v>
      </c>
      <c r="P451" s="2">
        <f>_xlfn.XLOOKUP($J451, items_clean!$A:$A, items_clean!$F:$F, "")</f>
        <v>3.25</v>
      </c>
      <c r="Q451" s="2">
        <f t="shared" ref="Q451:Q467" si="52">O451*P451</f>
        <v>3.25</v>
      </c>
      <c r="R451" s="7">
        <f>_xlfn.XLOOKUP(K451, recipe_cost!$A:$A, recipe_cost!$B:$B, "")</f>
        <v>0.19</v>
      </c>
      <c r="S451" s="10">
        <f t="shared" ref="S451:S467" si="53">O451 * R451</f>
        <v>0.19</v>
      </c>
      <c r="T451" s="10">
        <f t="shared" ref="T451:T467" si="54">Q451-S451</f>
        <v>3.06</v>
      </c>
      <c r="U451" s="9">
        <f t="shared" ref="U451:U467" si="55">IF(Q451=0,"",T451/Q451)</f>
        <v>0.94153846153846155</v>
      </c>
    </row>
    <row r="452" spans="1:21" x14ac:dyDescent="0.3">
      <c r="A452" s="1">
        <v>451</v>
      </c>
      <c r="B452" s="1" t="s">
        <v>708</v>
      </c>
      <c r="C452" s="4">
        <v>45339.587500000001</v>
      </c>
      <c r="D452" s="5">
        <f t="shared" si="49"/>
        <v>45339</v>
      </c>
      <c r="E452" s="3">
        <f t="shared" si="50"/>
        <v>14</v>
      </c>
      <c r="F452" s="1" t="str" cm="1">
        <f t="array" ref="F452">_xlfn.IFS(
E452&lt;11,"Morning",
E452&lt;15,"Afternoon",
TRUE,"Evening"
)</f>
        <v>Afternoon</v>
      </c>
      <c r="G452" s="3" t="str">
        <f t="shared" si="51"/>
        <v>Sat</v>
      </c>
      <c r="H452" s="1" t="s">
        <v>590</v>
      </c>
      <c r="I452" s="1" t="s">
        <v>149</v>
      </c>
      <c r="J452" s="1" t="s">
        <v>110</v>
      </c>
      <c r="K452" s="1" t="str">
        <f>_xlfn.XLOOKUP($J452, items_clean!$A:$A, items_clean!$B:$B, "")</f>
        <v>HDR-CRM-LG</v>
      </c>
      <c r="L452" s="1" t="str">
        <f>_xlfn.XLOOKUP($J452, items_clean!$A:$A, items_clean!$C:$C, "")</f>
        <v>Caramel Macchiato</v>
      </c>
      <c r="M452" s="1" t="str">
        <f>_xlfn.XLOOKUP($J452, items_clean!$A:$A, items_clean!$D:$D, "")</f>
        <v>Hot Drinks</v>
      </c>
      <c r="N452" s="1" t="str">
        <f>_xlfn.XLOOKUP($J452, items_clean!$A:$A, items_clean!$E:$E, "")</f>
        <v>Large</v>
      </c>
      <c r="O452" s="3">
        <v>1</v>
      </c>
      <c r="P452" s="2">
        <f>_xlfn.XLOOKUP($J452, items_clean!$A:$A, items_clean!$F:$F, "")</f>
        <v>4.5999999999999996</v>
      </c>
      <c r="Q452" s="2">
        <f t="shared" si="52"/>
        <v>4.5999999999999996</v>
      </c>
      <c r="R452" s="7">
        <f>_xlfn.XLOOKUP(K452, recipe_cost!$A:$A, recipe_cost!$B:$B, "")</f>
        <v>0.56669999999999998</v>
      </c>
      <c r="S452" s="10">
        <f t="shared" si="53"/>
        <v>0.56669999999999998</v>
      </c>
      <c r="T452" s="10">
        <f t="shared" si="54"/>
        <v>4.0332999999999997</v>
      </c>
      <c r="U452" s="9">
        <f t="shared" si="55"/>
        <v>0.87680434782608696</v>
      </c>
    </row>
    <row r="453" spans="1:21" x14ac:dyDescent="0.3">
      <c r="A453" s="1">
        <v>452</v>
      </c>
      <c r="B453" s="1" t="s">
        <v>709</v>
      </c>
      <c r="C453" s="4">
        <v>45339.592361111114</v>
      </c>
      <c r="D453" s="5">
        <f t="shared" si="49"/>
        <v>45339</v>
      </c>
      <c r="E453" s="3">
        <f t="shared" si="50"/>
        <v>14</v>
      </c>
      <c r="F453" s="1" t="str" cm="1">
        <f t="array" ref="F453">_xlfn.IFS(
E453&lt;11,"Morning",
E453&lt;15,"Afternoon",
TRUE,"Evening"
)</f>
        <v>Afternoon</v>
      </c>
      <c r="G453" s="3" t="str">
        <f t="shared" si="51"/>
        <v>Sat</v>
      </c>
      <c r="H453" s="1" t="s">
        <v>480</v>
      </c>
      <c r="I453" s="1" t="s">
        <v>146</v>
      </c>
      <c r="J453" s="1" t="s">
        <v>100</v>
      </c>
      <c r="K453" s="1" t="str">
        <f>_xlfn.XLOOKUP($J453, items_clean!$A:$A, items_clean!$B:$B, "")</f>
        <v>HDR-CAP-LG</v>
      </c>
      <c r="L453" s="1" t="str">
        <f>_xlfn.XLOOKUP($J453, items_clean!$A:$A, items_clean!$C:$C, "")</f>
        <v>Cappuccino</v>
      </c>
      <c r="M453" s="1" t="str">
        <f>_xlfn.XLOOKUP($J453, items_clean!$A:$A, items_clean!$D:$D, "")</f>
        <v>Hot Drinks</v>
      </c>
      <c r="N453" s="1" t="str">
        <f>_xlfn.XLOOKUP($J453, items_clean!$A:$A, items_clean!$E:$E, "")</f>
        <v>Large</v>
      </c>
      <c r="O453" s="3">
        <v>1</v>
      </c>
      <c r="P453" s="2">
        <f>_xlfn.XLOOKUP($J453, items_clean!$A:$A, items_clean!$F:$F, "")</f>
        <v>3.75</v>
      </c>
      <c r="Q453" s="2">
        <f t="shared" si="52"/>
        <v>3.75</v>
      </c>
      <c r="R453" s="7">
        <f>_xlfn.XLOOKUP(K453, recipe_cost!$A:$A, recipe_cost!$B:$B, "")</f>
        <v>0.33599999999999997</v>
      </c>
      <c r="S453" s="10">
        <f t="shared" si="53"/>
        <v>0.33599999999999997</v>
      </c>
      <c r="T453" s="10">
        <f t="shared" si="54"/>
        <v>3.4140000000000001</v>
      </c>
      <c r="U453" s="9">
        <f t="shared" si="55"/>
        <v>0.91039999999999999</v>
      </c>
    </row>
    <row r="454" spans="1:21" x14ac:dyDescent="0.3">
      <c r="A454" s="1">
        <v>453</v>
      </c>
      <c r="B454" s="1" t="s">
        <v>710</v>
      </c>
      <c r="C454" s="4">
        <v>45339.597222222219</v>
      </c>
      <c r="D454" s="5">
        <f t="shared" si="49"/>
        <v>45339</v>
      </c>
      <c r="E454" s="3">
        <f t="shared" si="50"/>
        <v>14</v>
      </c>
      <c r="F454" s="1" t="str" cm="1">
        <f t="array" ref="F454">_xlfn.IFS(
E454&lt;11,"Morning",
E454&lt;15,"Afternoon",
TRUE,"Evening"
)</f>
        <v>Afternoon</v>
      </c>
      <c r="G454" s="3" t="str">
        <f t="shared" si="51"/>
        <v>Sat</v>
      </c>
      <c r="H454" s="1" t="s">
        <v>711</v>
      </c>
      <c r="I454" s="1" t="s">
        <v>149</v>
      </c>
      <c r="J454" s="1" t="s">
        <v>119</v>
      </c>
      <c r="K454" s="1" t="str">
        <f>_xlfn.XLOOKUP($J454, items_clean!$A:$A, items_clean!$B:$B, "")</f>
        <v>HDR-HCH-MD</v>
      </c>
      <c r="L454" s="1" t="str">
        <f>_xlfn.XLOOKUP($J454, items_clean!$A:$A, items_clean!$C:$C, "")</f>
        <v>Hot Chocolate</v>
      </c>
      <c r="M454" s="1" t="str">
        <f>_xlfn.XLOOKUP($J454, items_clean!$A:$A, items_clean!$D:$D, "")</f>
        <v>Hot Drinks</v>
      </c>
      <c r="N454" s="1" t="str">
        <f>_xlfn.XLOOKUP($J454, items_clean!$A:$A, items_clean!$E:$E, "")</f>
        <v>Medium</v>
      </c>
      <c r="O454" s="3">
        <v>1</v>
      </c>
      <c r="P454" s="2">
        <f>_xlfn.XLOOKUP($J454, items_clean!$A:$A, items_clean!$F:$F, "")</f>
        <v>4.2</v>
      </c>
      <c r="Q454" s="2">
        <f t="shared" si="52"/>
        <v>4.2</v>
      </c>
      <c r="R454" s="7">
        <f>_xlfn.XLOOKUP(K454, recipe_cost!$A:$A, recipe_cost!$B:$B, "")</f>
        <v>1.0509999999999999</v>
      </c>
      <c r="S454" s="10">
        <f t="shared" si="53"/>
        <v>1.0509999999999999</v>
      </c>
      <c r="T454" s="10">
        <f t="shared" si="54"/>
        <v>3.149</v>
      </c>
      <c r="U454" s="9">
        <f t="shared" si="55"/>
        <v>0.74976190476190474</v>
      </c>
    </row>
    <row r="455" spans="1:21" x14ac:dyDescent="0.3">
      <c r="A455" s="1">
        <v>454</v>
      </c>
      <c r="B455" s="1" t="s">
        <v>712</v>
      </c>
      <c r="C455" s="4">
        <v>45339.602083333331</v>
      </c>
      <c r="D455" s="5">
        <f t="shared" si="49"/>
        <v>45339</v>
      </c>
      <c r="E455" s="3">
        <f t="shared" si="50"/>
        <v>14</v>
      </c>
      <c r="F455" s="1" t="str" cm="1">
        <f t="array" ref="F455">_xlfn.IFS(
E455&lt;11,"Morning",
E455&lt;15,"Afternoon",
TRUE,"Evening"
)</f>
        <v>Afternoon</v>
      </c>
      <c r="G455" s="3" t="str">
        <f t="shared" si="51"/>
        <v>Sat</v>
      </c>
      <c r="H455" s="1" t="s">
        <v>484</v>
      </c>
      <c r="I455" s="1" t="s">
        <v>146</v>
      </c>
      <c r="J455" s="1" t="s">
        <v>132</v>
      </c>
      <c r="K455" s="1" t="str">
        <f>_xlfn.XLOOKUP($J455, items_clean!$A:$A, items_clean!$B:$B, "")</f>
        <v>CDR-LMN-MD</v>
      </c>
      <c r="L455" s="1" t="str">
        <f>_xlfn.XLOOKUP($J455, items_clean!$A:$A, items_clean!$C:$C, "")</f>
        <v>Lemonade</v>
      </c>
      <c r="M455" s="1" t="str">
        <f>_xlfn.XLOOKUP($J455, items_clean!$A:$A, items_clean!$D:$D, "")</f>
        <v>Cold Drinks</v>
      </c>
      <c r="N455" s="1" t="str">
        <f>_xlfn.XLOOKUP($J455, items_clean!$A:$A, items_clean!$E:$E, "")</f>
        <v>Medium</v>
      </c>
      <c r="O455" s="3">
        <v>1</v>
      </c>
      <c r="P455" s="2">
        <f>_xlfn.XLOOKUP($J455, items_clean!$A:$A, items_clean!$F:$F, "")</f>
        <v>3.35</v>
      </c>
      <c r="Q455" s="2">
        <f t="shared" si="52"/>
        <v>3.35</v>
      </c>
      <c r="R455" s="7">
        <f>_xlfn.XLOOKUP(K455, recipe_cost!$A:$A, recipe_cost!$B:$B, "")</f>
        <v>0.34499999999999997</v>
      </c>
      <c r="S455" s="10">
        <f t="shared" si="53"/>
        <v>0.34499999999999997</v>
      </c>
      <c r="T455" s="10">
        <f t="shared" si="54"/>
        <v>3.0049999999999999</v>
      </c>
      <c r="U455" s="9">
        <f t="shared" si="55"/>
        <v>0.89701492537313432</v>
      </c>
    </row>
    <row r="456" spans="1:21" x14ac:dyDescent="0.3">
      <c r="A456" s="1">
        <v>455</v>
      </c>
      <c r="B456" s="1" t="s">
        <v>712</v>
      </c>
      <c r="C456" s="4">
        <v>45339.602083333331</v>
      </c>
      <c r="D456" s="5">
        <f t="shared" si="49"/>
        <v>45339</v>
      </c>
      <c r="E456" s="3">
        <f t="shared" si="50"/>
        <v>14</v>
      </c>
      <c r="F456" s="1" t="str" cm="1">
        <f t="array" ref="F456">_xlfn.IFS(
E456&lt;11,"Morning",
E456&lt;15,"Afternoon",
TRUE,"Evening"
)</f>
        <v>Afternoon</v>
      </c>
      <c r="G456" s="3" t="str">
        <f t="shared" si="51"/>
        <v>Sat</v>
      </c>
      <c r="H456" s="1" t="s">
        <v>484</v>
      </c>
      <c r="I456" s="1" t="s">
        <v>778</v>
      </c>
      <c r="J456" s="1" t="s">
        <v>125</v>
      </c>
      <c r="K456" s="1" t="str">
        <f>_xlfn.XLOOKUP($J456, items_clean!$A:$A, items_clean!$B:$B, "")</f>
        <v>CDR-CCF-LG</v>
      </c>
      <c r="L456" s="1" t="str">
        <f>_xlfn.XLOOKUP($J456, items_clean!$A:$A, items_clean!$C:$C, "")</f>
        <v>Cold Coffee</v>
      </c>
      <c r="M456" s="1" t="str">
        <f>_xlfn.XLOOKUP($J456, items_clean!$A:$A, items_clean!$D:$D, "")</f>
        <v>Cold Drinks</v>
      </c>
      <c r="N456" s="1" t="str">
        <f>_xlfn.XLOOKUP($J456, items_clean!$A:$A, items_clean!$E:$E, "")</f>
        <v>Large</v>
      </c>
      <c r="O456" s="3">
        <v>1</v>
      </c>
      <c r="P456" s="2">
        <f>_xlfn.XLOOKUP($J456, items_clean!$A:$A, items_clean!$F:$F, "")</f>
        <v>3.75</v>
      </c>
      <c r="Q456" s="2">
        <f t="shared" si="52"/>
        <v>3.75</v>
      </c>
      <c r="R456" s="7">
        <f>_xlfn.XLOOKUP(K456, recipe_cost!$A:$A, recipe_cost!$B:$B, "")</f>
        <v>0.33599999999999997</v>
      </c>
      <c r="S456" s="10">
        <f t="shared" si="53"/>
        <v>0.33599999999999997</v>
      </c>
      <c r="T456" s="10">
        <f t="shared" si="54"/>
        <v>3.4140000000000001</v>
      </c>
      <c r="U456" s="9">
        <f t="shared" si="55"/>
        <v>0.91039999999999999</v>
      </c>
    </row>
    <row r="457" spans="1:21" x14ac:dyDescent="0.3">
      <c r="A457" s="1">
        <v>456</v>
      </c>
      <c r="B457" s="1" t="s">
        <v>715</v>
      </c>
      <c r="C457" s="4">
        <v>45339.611805555556</v>
      </c>
      <c r="D457" s="5">
        <f t="shared" si="49"/>
        <v>45339</v>
      </c>
      <c r="E457" s="3">
        <f t="shared" si="50"/>
        <v>14</v>
      </c>
      <c r="F457" s="1" t="str" cm="1">
        <f t="array" ref="F457">_xlfn.IFS(
E457&lt;11,"Morning",
E457&lt;15,"Afternoon",
TRUE,"Evening"
)</f>
        <v>Afternoon</v>
      </c>
      <c r="G457" s="3" t="str">
        <f t="shared" si="51"/>
        <v>Sat</v>
      </c>
      <c r="H457" s="1" t="s">
        <v>716</v>
      </c>
      <c r="I457" s="1" t="s">
        <v>146</v>
      </c>
      <c r="J457" s="1" t="s">
        <v>113</v>
      </c>
      <c r="K457" s="1" t="str">
        <f>_xlfn.XLOOKUP($J457, items_clean!$A:$A, items_clean!$B:$B, "")</f>
        <v>HDR-MOC-MD</v>
      </c>
      <c r="L457" s="1" t="str">
        <f>_xlfn.XLOOKUP($J457, items_clean!$A:$A, items_clean!$C:$C, "")</f>
        <v>Mocha</v>
      </c>
      <c r="M457" s="1" t="str">
        <f>_xlfn.XLOOKUP($J457, items_clean!$A:$A, items_clean!$D:$D, "")</f>
        <v>Hot Drinks</v>
      </c>
      <c r="N457" s="1" t="str">
        <f>_xlfn.XLOOKUP($J457, items_clean!$A:$A, items_clean!$E:$E, "")</f>
        <v>Medium</v>
      </c>
      <c r="O457" s="3">
        <v>1</v>
      </c>
      <c r="P457" s="2">
        <f>_xlfn.XLOOKUP($J457, items_clean!$A:$A, items_clean!$F:$F, "")</f>
        <v>4</v>
      </c>
      <c r="Q457" s="2">
        <f t="shared" si="52"/>
        <v>4</v>
      </c>
      <c r="R457" s="7">
        <f>_xlfn.XLOOKUP(K457, recipe_cost!$A:$A, recipe_cost!$B:$B, "")</f>
        <v>0.4098</v>
      </c>
      <c r="S457" s="10">
        <f t="shared" si="53"/>
        <v>0.4098</v>
      </c>
      <c r="T457" s="10">
        <f t="shared" si="54"/>
        <v>3.5901999999999998</v>
      </c>
      <c r="U457" s="9">
        <f t="shared" si="55"/>
        <v>0.89754999999999996</v>
      </c>
    </row>
    <row r="458" spans="1:21" x14ac:dyDescent="0.3">
      <c r="A458" s="1">
        <v>457</v>
      </c>
      <c r="B458" s="1" t="s">
        <v>717</v>
      </c>
      <c r="C458" s="4">
        <v>45339.616666666669</v>
      </c>
      <c r="D458" s="5">
        <f t="shared" si="49"/>
        <v>45339</v>
      </c>
      <c r="E458" s="3">
        <f t="shared" si="50"/>
        <v>14</v>
      </c>
      <c r="F458" s="1" t="str" cm="1">
        <f t="array" ref="F458">_xlfn.IFS(
E458&lt;11,"Morning",
E458&lt;15,"Afternoon",
TRUE,"Evening"
)</f>
        <v>Afternoon</v>
      </c>
      <c r="G458" s="3" t="str">
        <f t="shared" si="51"/>
        <v>Sat</v>
      </c>
      <c r="H458" s="1" t="s">
        <v>558</v>
      </c>
      <c r="I458" s="1" t="s">
        <v>149</v>
      </c>
      <c r="J458" s="1" t="s">
        <v>108</v>
      </c>
      <c r="K458" s="1" t="str">
        <f>_xlfn.XLOOKUP($J458, items_clean!$A:$A, items_clean!$B:$B, "")</f>
        <v>HDR-CRM-MD</v>
      </c>
      <c r="L458" s="1" t="str">
        <f>_xlfn.XLOOKUP($J458, items_clean!$A:$A, items_clean!$C:$C, "")</f>
        <v>Caramel Macchiato</v>
      </c>
      <c r="M458" s="1" t="str">
        <f>_xlfn.XLOOKUP($J458, items_clean!$A:$A, items_clean!$D:$D, "")</f>
        <v>Hot Drinks</v>
      </c>
      <c r="N458" s="1" t="str">
        <f>_xlfn.XLOOKUP($J458, items_clean!$A:$A, items_clean!$E:$E, "")</f>
        <v>Medium</v>
      </c>
      <c r="O458" s="3">
        <v>1</v>
      </c>
      <c r="P458" s="2">
        <f>_xlfn.XLOOKUP($J458, items_clean!$A:$A, items_clean!$F:$F, "")</f>
        <v>4.2</v>
      </c>
      <c r="Q458" s="2">
        <f t="shared" si="52"/>
        <v>4.2</v>
      </c>
      <c r="R458" s="7">
        <f>_xlfn.XLOOKUP(K458, recipe_cost!$A:$A, recipe_cost!$B:$B, "")</f>
        <v>0.4098</v>
      </c>
      <c r="S458" s="10">
        <f t="shared" si="53"/>
        <v>0.4098</v>
      </c>
      <c r="T458" s="10">
        <f t="shared" si="54"/>
        <v>3.7902</v>
      </c>
      <c r="U458" s="9">
        <f t="shared" si="55"/>
        <v>0.90242857142857136</v>
      </c>
    </row>
    <row r="459" spans="1:21" x14ac:dyDescent="0.3">
      <c r="A459" s="1">
        <v>458</v>
      </c>
      <c r="B459" s="1" t="s">
        <v>718</v>
      </c>
      <c r="C459" s="4">
        <v>45339.621527777781</v>
      </c>
      <c r="D459" s="5">
        <f t="shared" si="49"/>
        <v>45339</v>
      </c>
      <c r="E459" s="3">
        <f t="shared" si="50"/>
        <v>14</v>
      </c>
      <c r="F459" s="1" t="str" cm="1">
        <f t="array" ref="F459">_xlfn.IFS(
E459&lt;11,"Morning",
E459&lt;15,"Afternoon",
TRUE,"Evening"
)</f>
        <v>Afternoon</v>
      </c>
      <c r="G459" s="3" t="str">
        <f t="shared" si="51"/>
        <v>Sat</v>
      </c>
      <c r="H459" s="1" t="s">
        <v>719</v>
      </c>
      <c r="I459" s="1" t="s">
        <v>146</v>
      </c>
      <c r="J459" s="1" t="s">
        <v>135</v>
      </c>
      <c r="K459" s="1" t="str">
        <f>_xlfn.XLOOKUP($J459, items_clean!$A:$A, items_clean!$B:$B, "")</f>
        <v>SNK-SHC</v>
      </c>
      <c r="L459" s="1" t="str">
        <f>_xlfn.XLOOKUP($J459, items_clean!$A:$A, items_clean!$C:$C, "")</f>
        <v>Sandwich Ham&amp;Cheese</v>
      </c>
      <c r="M459" s="1" t="str">
        <f>_xlfn.XLOOKUP($J459, items_clean!$A:$A, items_clean!$D:$D, "")</f>
        <v>Snacks</v>
      </c>
      <c r="N459" s="1" t="str">
        <f>_xlfn.XLOOKUP($J459, items_clean!$A:$A, items_clean!$E:$E, "")</f>
        <v>N/A</v>
      </c>
      <c r="O459" s="3">
        <v>1</v>
      </c>
      <c r="P459" s="2">
        <f>_xlfn.XLOOKUP($J459, items_clean!$A:$A, items_clean!$F:$F, "")</f>
        <v>5.6</v>
      </c>
      <c r="Q459" s="2">
        <f t="shared" si="52"/>
        <v>5.6</v>
      </c>
      <c r="R459" s="7">
        <f>_xlfn.XLOOKUP(K459, recipe_cost!$A:$A, recipe_cost!$B:$B, "")</f>
        <v>2.0105</v>
      </c>
      <c r="S459" s="10">
        <f t="shared" si="53"/>
        <v>2.0105</v>
      </c>
      <c r="T459" s="10">
        <f t="shared" si="54"/>
        <v>3.5894999999999997</v>
      </c>
      <c r="U459" s="9">
        <f t="shared" si="55"/>
        <v>0.64098214285714283</v>
      </c>
    </row>
    <row r="460" spans="1:21" x14ac:dyDescent="0.3">
      <c r="A460" s="1">
        <v>459</v>
      </c>
      <c r="B460" s="1" t="s">
        <v>720</v>
      </c>
      <c r="C460" s="4">
        <v>45339.626388888886</v>
      </c>
      <c r="D460" s="5">
        <f t="shared" si="49"/>
        <v>45339</v>
      </c>
      <c r="E460" s="3">
        <f t="shared" si="50"/>
        <v>15</v>
      </c>
      <c r="F460" s="1" t="str" cm="1">
        <f t="array" ref="F460">_xlfn.IFS(
E460&lt;11,"Morning",
E460&lt;15,"Afternoon",
TRUE,"Evening"
)</f>
        <v>Evening</v>
      </c>
      <c r="G460" s="3" t="str">
        <f t="shared" si="51"/>
        <v>Sat</v>
      </c>
      <c r="H460" s="1" t="s">
        <v>562</v>
      </c>
      <c r="I460" s="1" t="s">
        <v>149</v>
      </c>
      <c r="J460" s="1" t="s">
        <v>128</v>
      </c>
      <c r="K460" s="1" t="str">
        <f>_xlfn.XLOOKUP($J460, items_clean!$A:$A, items_clean!$B:$B, "")</f>
        <v>CDR-CMO-LG</v>
      </c>
      <c r="L460" s="1" t="str">
        <f>_xlfn.XLOOKUP($J460, items_clean!$A:$A, items_clean!$C:$C, "")</f>
        <v>Cold Mocha</v>
      </c>
      <c r="M460" s="1" t="str">
        <f>_xlfn.XLOOKUP($J460, items_clean!$A:$A, items_clean!$D:$D, "")</f>
        <v>Cold Drinks</v>
      </c>
      <c r="N460" s="1" t="str">
        <f>_xlfn.XLOOKUP($J460, items_clean!$A:$A, items_clean!$E:$E, "")</f>
        <v>Large</v>
      </c>
      <c r="O460" s="3">
        <v>1</v>
      </c>
      <c r="P460" s="2">
        <f>_xlfn.XLOOKUP($J460, items_clean!$A:$A, items_clean!$F:$F, "")</f>
        <v>4.5999999999999996</v>
      </c>
      <c r="Q460" s="2">
        <f t="shared" si="52"/>
        <v>4.5999999999999996</v>
      </c>
      <c r="R460" s="7">
        <f>_xlfn.XLOOKUP(K460, recipe_cost!$A:$A, recipe_cost!$B:$B, "")</f>
        <v>0.56669999999999998</v>
      </c>
      <c r="S460" s="10">
        <f t="shared" si="53"/>
        <v>0.56669999999999998</v>
      </c>
      <c r="T460" s="10">
        <f t="shared" si="54"/>
        <v>4.0332999999999997</v>
      </c>
      <c r="U460" s="9">
        <f t="shared" si="55"/>
        <v>0.87680434782608696</v>
      </c>
    </row>
    <row r="461" spans="1:21" x14ac:dyDescent="0.3">
      <c r="A461" s="1">
        <v>460</v>
      </c>
      <c r="B461" s="1" t="s">
        <v>720</v>
      </c>
      <c r="C461" s="4">
        <v>45339.626388888886</v>
      </c>
      <c r="D461" s="5">
        <f t="shared" si="49"/>
        <v>45339</v>
      </c>
      <c r="E461" s="3">
        <f t="shared" si="50"/>
        <v>15</v>
      </c>
      <c r="F461" s="1" t="str" cm="1">
        <f t="array" ref="F461">_xlfn.IFS(
E461&lt;11,"Morning",
E461&lt;15,"Afternoon",
TRUE,"Evening"
)</f>
        <v>Evening</v>
      </c>
      <c r="G461" s="3" t="str">
        <f t="shared" si="51"/>
        <v>Sat</v>
      </c>
      <c r="H461" s="1" t="s">
        <v>562</v>
      </c>
      <c r="I461" s="1" t="s">
        <v>778</v>
      </c>
      <c r="J461" s="1" t="s">
        <v>116</v>
      </c>
      <c r="K461" s="1" t="str">
        <f>_xlfn.XLOOKUP($J461, items_clean!$A:$A, items_clean!$B:$B, "")</f>
        <v>HDR-WMO-MD</v>
      </c>
      <c r="L461" s="1" t="str">
        <f>_xlfn.XLOOKUP($J461, items_clean!$A:$A, items_clean!$C:$C, "")</f>
        <v>White Mocha</v>
      </c>
      <c r="M461" s="1" t="str">
        <f>_xlfn.XLOOKUP($J461, items_clean!$A:$A, items_clean!$D:$D, "")</f>
        <v>Hot Drinks</v>
      </c>
      <c r="N461" s="1" t="str">
        <f>_xlfn.XLOOKUP($J461, items_clean!$A:$A, items_clean!$E:$E, "")</f>
        <v>Medium</v>
      </c>
      <c r="O461" s="3">
        <v>1</v>
      </c>
      <c r="P461" s="2">
        <f>_xlfn.XLOOKUP($J461, items_clean!$A:$A, items_clean!$F:$F, "")</f>
        <v>4.5</v>
      </c>
      <c r="Q461" s="2">
        <f t="shared" si="52"/>
        <v>4.5</v>
      </c>
      <c r="R461" s="7">
        <f>_xlfn.XLOOKUP(K461, recipe_cost!$A:$A, recipe_cost!$B:$B, "")</f>
        <v>0.4098</v>
      </c>
      <c r="S461" s="10">
        <f t="shared" si="53"/>
        <v>0.4098</v>
      </c>
      <c r="T461" s="10">
        <f t="shared" si="54"/>
        <v>4.0902000000000003</v>
      </c>
      <c r="U461" s="9">
        <f t="shared" si="55"/>
        <v>0.90893333333333337</v>
      </c>
    </row>
    <row r="462" spans="1:21" x14ac:dyDescent="0.3">
      <c r="A462" s="1">
        <v>461</v>
      </c>
      <c r="B462" s="1" t="s">
        <v>721</v>
      </c>
      <c r="C462" s="4">
        <v>45339.640972222223</v>
      </c>
      <c r="D462" s="5">
        <f t="shared" si="49"/>
        <v>45339</v>
      </c>
      <c r="E462" s="3">
        <f t="shared" si="50"/>
        <v>15</v>
      </c>
      <c r="F462" s="1" t="str" cm="1">
        <f t="array" ref="F462">_xlfn.IFS(
E462&lt;11,"Morning",
E462&lt;15,"Afternoon",
TRUE,"Evening"
)</f>
        <v>Evening</v>
      </c>
      <c r="G462" s="3" t="str">
        <f t="shared" si="51"/>
        <v>Sat</v>
      </c>
      <c r="H462" s="1" t="s">
        <v>498</v>
      </c>
      <c r="I462" s="1" t="s">
        <v>146</v>
      </c>
      <c r="J462" s="1" t="s">
        <v>122</v>
      </c>
      <c r="K462" s="1" t="str">
        <f>_xlfn.XLOOKUP($J462, items_clean!$A:$A, items_clean!$B:$B, "")</f>
        <v>CDR-CCF-MD</v>
      </c>
      <c r="L462" s="1" t="str">
        <f>_xlfn.XLOOKUP($J462, items_clean!$A:$A, items_clean!$C:$C, "")</f>
        <v>Cold Coffee</v>
      </c>
      <c r="M462" s="1" t="str">
        <f>_xlfn.XLOOKUP($J462, items_clean!$A:$A, items_clean!$D:$D, "")</f>
        <v>Cold Drinks</v>
      </c>
      <c r="N462" s="1" t="str">
        <f>_xlfn.XLOOKUP($J462, items_clean!$A:$A, items_clean!$E:$E, "")</f>
        <v>Medium</v>
      </c>
      <c r="O462" s="3">
        <v>1</v>
      </c>
      <c r="P462" s="2">
        <f>_xlfn.XLOOKUP($J462, items_clean!$A:$A, items_clean!$F:$F, "")</f>
        <v>3.45</v>
      </c>
      <c r="Q462" s="2">
        <f t="shared" si="52"/>
        <v>3.45</v>
      </c>
      <c r="R462" s="7">
        <f>_xlfn.XLOOKUP(K462, recipe_cost!$A:$A, recipe_cost!$B:$B, "")</f>
        <v>0.252</v>
      </c>
      <c r="S462" s="10">
        <f t="shared" si="53"/>
        <v>0.252</v>
      </c>
      <c r="T462" s="10">
        <f t="shared" si="54"/>
        <v>3.1980000000000004</v>
      </c>
      <c r="U462" s="9">
        <f t="shared" si="55"/>
        <v>0.92695652173913046</v>
      </c>
    </row>
    <row r="463" spans="1:21" x14ac:dyDescent="0.3">
      <c r="A463" s="1">
        <v>462</v>
      </c>
      <c r="B463" s="1" t="s">
        <v>723</v>
      </c>
      <c r="C463" s="4">
        <v>45339.663194444445</v>
      </c>
      <c r="D463" s="5">
        <f t="shared" si="49"/>
        <v>45339</v>
      </c>
      <c r="E463" s="3">
        <f t="shared" si="50"/>
        <v>15</v>
      </c>
      <c r="F463" s="1" t="str" cm="1">
        <f t="array" ref="F463">_xlfn.IFS(
E463&lt;11,"Morning",
E463&lt;15,"Afternoon",
TRUE,"Evening"
)</f>
        <v>Evening</v>
      </c>
      <c r="G463" s="3" t="str">
        <f t="shared" si="51"/>
        <v>Sat</v>
      </c>
      <c r="H463" s="1" t="s">
        <v>716</v>
      </c>
      <c r="I463" s="1" t="s">
        <v>146</v>
      </c>
      <c r="J463" s="1" t="s">
        <v>113</v>
      </c>
      <c r="K463" s="1" t="str">
        <f>_xlfn.XLOOKUP($J463, items_clean!$A:$A, items_clean!$B:$B, "")</f>
        <v>HDR-MOC-MD</v>
      </c>
      <c r="L463" s="1" t="str">
        <f>_xlfn.XLOOKUP($J463, items_clean!$A:$A, items_clean!$C:$C, "")</f>
        <v>Mocha</v>
      </c>
      <c r="M463" s="1" t="str">
        <f>_xlfn.XLOOKUP($J463, items_clean!$A:$A, items_clean!$D:$D, "")</f>
        <v>Hot Drinks</v>
      </c>
      <c r="N463" s="1" t="str">
        <f>_xlfn.XLOOKUP($J463, items_clean!$A:$A, items_clean!$E:$E, "")</f>
        <v>Medium</v>
      </c>
      <c r="O463" s="3">
        <v>1</v>
      </c>
      <c r="P463" s="2">
        <f>_xlfn.XLOOKUP($J463, items_clean!$A:$A, items_clean!$F:$F, "")</f>
        <v>4</v>
      </c>
      <c r="Q463" s="2">
        <f t="shared" si="52"/>
        <v>4</v>
      </c>
      <c r="R463" s="7">
        <f>_xlfn.XLOOKUP(K463, recipe_cost!$A:$A, recipe_cost!$B:$B, "")</f>
        <v>0.4098</v>
      </c>
      <c r="S463" s="10">
        <f t="shared" si="53"/>
        <v>0.4098</v>
      </c>
      <c r="T463" s="10">
        <f t="shared" si="54"/>
        <v>3.5901999999999998</v>
      </c>
      <c r="U463" s="9">
        <f t="shared" si="55"/>
        <v>0.89754999999999996</v>
      </c>
    </row>
    <row r="464" spans="1:21" x14ac:dyDescent="0.3">
      <c r="A464" s="1">
        <v>463</v>
      </c>
      <c r="B464" s="1" t="s">
        <v>724</v>
      </c>
      <c r="C464" s="4">
        <v>45339.674305555556</v>
      </c>
      <c r="D464" s="5">
        <f t="shared" si="49"/>
        <v>45339</v>
      </c>
      <c r="E464" s="3">
        <f t="shared" si="50"/>
        <v>16</v>
      </c>
      <c r="F464" s="1" t="str" cm="1">
        <f t="array" ref="F464">_xlfn.IFS(
E464&lt;11,"Morning",
E464&lt;15,"Afternoon",
TRUE,"Evening"
)</f>
        <v>Evening</v>
      </c>
      <c r="G464" s="3" t="str">
        <f t="shared" si="51"/>
        <v>Sat</v>
      </c>
      <c r="H464" s="1" t="s">
        <v>558</v>
      </c>
      <c r="I464" s="1" t="s">
        <v>149</v>
      </c>
      <c r="J464" s="1" t="s">
        <v>135</v>
      </c>
      <c r="K464" s="1" t="str">
        <f>_xlfn.XLOOKUP($J464, items_clean!$A:$A, items_clean!$B:$B, "")</f>
        <v>SNK-SHC</v>
      </c>
      <c r="L464" s="1" t="str">
        <f>_xlfn.XLOOKUP($J464, items_clean!$A:$A, items_clean!$C:$C, "")</f>
        <v>Sandwich Ham&amp;Cheese</v>
      </c>
      <c r="M464" s="1" t="str">
        <f>_xlfn.XLOOKUP($J464, items_clean!$A:$A, items_clean!$D:$D, "")</f>
        <v>Snacks</v>
      </c>
      <c r="N464" s="1" t="str">
        <f>_xlfn.XLOOKUP($J464, items_clean!$A:$A, items_clean!$E:$E, "")</f>
        <v>N/A</v>
      </c>
      <c r="O464" s="3">
        <v>1</v>
      </c>
      <c r="P464" s="2">
        <f>_xlfn.XLOOKUP($J464, items_clean!$A:$A, items_clean!$F:$F, "")</f>
        <v>5.6</v>
      </c>
      <c r="Q464" s="2">
        <f t="shared" si="52"/>
        <v>5.6</v>
      </c>
      <c r="R464" s="7">
        <f>_xlfn.XLOOKUP(K464, recipe_cost!$A:$A, recipe_cost!$B:$B, "")</f>
        <v>2.0105</v>
      </c>
      <c r="S464" s="10">
        <f t="shared" si="53"/>
        <v>2.0105</v>
      </c>
      <c r="T464" s="10">
        <f t="shared" si="54"/>
        <v>3.5894999999999997</v>
      </c>
      <c r="U464" s="9">
        <f t="shared" si="55"/>
        <v>0.64098214285714283</v>
      </c>
    </row>
    <row r="465" spans="1:21" x14ac:dyDescent="0.3">
      <c r="A465" s="1">
        <v>464</v>
      </c>
      <c r="B465" s="1" t="s">
        <v>725</v>
      </c>
      <c r="C465" s="4">
        <v>45339.685416666667</v>
      </c>
      <c r="D465" s="5">
        <f t="shared" si="49"/>
        <v>45339</v>
      </c>
      <c r="E465" s="3">
        <f t="shared" si="50"/>
        <v>16</v>
      </c>
      <c r="F465" s="1" t="str" cm="1">
        <f t="array" ref="F465">_xlfn.IFS(
E465&lt;11,"Morning",
E465&lt;15,"Afternoon",
TRUE,"Evening"
)</f>
        <v>Evening</v>
      </c>
      <c r="G465" s="3" t="str">
        <f t="shared" si="51"/>
        <v>Sat</v>
      </c>
      <c r="H465" s="1" t="s">
        <v>719</v>
      </c>
      <c r="I465" s="1" t="s">
        <v>146</v>
      </c>
      <c r="J465" s="1" t="s">
        <v>108</v>
      </c>
      <c r="K465" s="1" t="str">
        <f>_xlfn.XLOOKUP($J465, items_clean!$A:$A, items_clean!$B:$B, "")</f>
        <v>HDR-CRM-MD</v>
      </c>
      <c r="L465" s="1" t="str">
        <f>_xlfn.XLOOKUP($J465, items_clean!$A:$A, items_clean!$C:$C, "")</f>
        <v>Caramel Macchiato</v>
      </c>
      <c r="M465" s="1" t="str">
        <f>_xlfn.XLOOKUP($J465, items_clean!$A:$A, items_clean!$D:$D, "")</f>
        <v>Hot Drinks</v>
      </c>
      <c r="N465" s="1" t="str">
        <f>_xlfn.XLOOKUP($J465, items_clean!$A:$A, items_clean!$E:$E, "")</f>
        <v>Medium</v>
      </c>
      <c r="O465" s="3">
        <v>1</v>
      </c>
      <c r="P465" s="2">
        <f>_xlfn.XLOOKUP($J465, items_clean!$A:$A, items_clean!$F:$F, "")</f>
        <v>4.2</v>
      </c>
      <c r="Q465" s="2">
        <f t="shared" si="52"/>
        <v>4.2</v>
      </c>
      <c r="R465" s="7">
        <f>_xlfn.XLOOKUP(K465, recipe_cost!$A:$A, recipe_cost!$B:$B, "")</f>
        <v>0.4098</v>
      </c>
      <c r="S465" s="10">
        <f t="shared" si="53"/>
        <v>0.4098</v>
      </c>
      <c r="T465" s="10">
        <f t="shared" si="54"/>
        <v>3.7902</v>
      </c>
      <c r="U465" s="9">
        <f t="shared" si="55"/>
        <v>0.90242857142857136</v>
      </c>
    </row>
    <row r="466" spans="1:21" x14ac:dyDescent="0.3">
      <c r="A466" s="1">
        <v>465</v>
      </c>
      <c r="B466" s="1" t="s">
        <v>726</v>
      </c>
      <c r="C466" s="4">
        <v>45339.696527777778</v>
      </c>
      <c r="D466" s="5">
        <f t="shared" si="49"/>
        <v>45339</v>
      </c>
      <c r="E466" s="3">
        <f t="shared" si="50"/>
        <v>16</v>
      </c>
      <c r="F466" s="1" t="str" cm="1">
        <f t="array" ref="F466">_xlfn.IFS(
E466&lt;11,"Morning",
E466&lt;15,"Afternoon",
TRUE,"Evening"
)</f>
        <v>Evening</v>
      </c>
      <c r="G466" s="3" t="str">
        <f t="shared" si="51"/>
        <v>Sat</v>
      </c>
      <c r="H466" s="1" t="s">
        <v>562</v>
      </c>
      <c r="I466" s="1" t="s">
        <v>149</v>
      </c>
      <c r="J466" s="1" t="s">
        <v>128</v>
      </c>
      <c r="K466" s="1" t="str">
        <f>_xlfn.XLOOKUP($J466, items_clean!$A:$A, items_clean!$B:$B, "")</f>
        <v>CDR-CMO-LG</v>
      </c>
      <c r="L466" s="1" t="str">
        <f>_xlfn.XLOOKUP($J466, items_clean!$A:$A, items_clean!$C:$C, "")</f>
        <v>Cold Mocha</v>
      </c>
      <c r="M466" s="1" t="str">
        <f>_xlfn.XLOOKUP($J466, items_clean!$A:$A, items_clean!$D:$D, "")</f>
        <v>Cold Drinks</v>
      </c>
      <c r="N466" s="1" t="str">
        <f>_xlfn.XLOOKUP($J466, items_clean!$A:$A, items_clean!$E:$E, "")</f>
        <v>Large</v>
      </c>
      <c r="O466" s="3">
        <v>1</v>
      </c>
      <c r="P466" s="2">
        <f>_xlfn.XLOOKUP($J466, items_clean!$A:$A, items_clean!$F:$F, "")</f>
        <v>4.5999999999999996</v>
      </c>
      <c r="Q466" s="2">
        <f t="shared" si="52"/>
        <v>4.5999999999999996</v>
      </c>
      <c r="R466" s="7">
        <f>_xlfn.XLOOKUP(K466, recipe_cost!$A:$A, recipe_cost!$B:$B, "")</f>
        <v>0.56669999999999998</v>
      </c>
      <c r="S466" s="10">
        <f t="shared" si="53"/>
        <v>0.56669999999999998</v>
      </c>
      <c r="T466" s="10">
        <f t="shared" si="54"/>
        <v>4.0332999999999997</v>
      </c>
      <c r="U466" s="9">
        <f t="shared" si="55"/>
        <v>0.87680434782608696</v>
      </c>
    </row>
    <row r="467" spans="1:21" x14ac:dyDescent="0.3">
      <c r="A467" s="1">
        <v>466</v>
      </c>
      <c r="B467" s="1" t="s">
        <v>727</v>
      </c>
      <c r="C467" s="4">
        <v>45339.707638888889</v>
      </c>
      <c r="D467" s="5">
        <f t="shared" si="49"/>
        <v>45339</v>
      </c>
      <c r="E467" s="3">
        <f t="shared" si="50"/>
        <v>16</v>
      </c>
      <c r="F467" s="1" t="str" cm="1">
        <f t="array" ref="F467">_xlfn.IFS(
E467&lt;11,"Morning",
E467&lt;15,"Afternoon",
TRUE,"Evening"
)</f>
        <v>Evening</v>
      </c>
      <c r="G467" s="3" t="str">
        <f t="shared" si="51"/>
        <v>Sat</v>
      </c>
      <c r="H467" s="1" t="s">
        <v>564</v>
      </c>
      <c r="I467" s="1" t="s">
        <v>146</v>
      </c>
      <c r="J467" s="1" t="s">
        <v>100</v>
      </c>
      <c r="K467" s="1" t="str">
        <f>_xlfn.XLOOKUP($J467, items_clean!$A:$A, items_clean!$B:$B, "")</f>
        <v>HDR-CAP-LG</v>
      </c>
      <c r="L467" s="1" t="str">
        <f>_xlfn.XLOOKUP($J467, items_clean!$A:$A, items_clean!$C:$C, "")</f>
        <v>Cappuccino</v>
      </c>
      <c r="M467" s="1" t="str">
        <f>_xlfn.XLOOKUP($J467, items_clean!$A:$A, items_clean!$D:$D, "")</f>
        <v>Hot Drinks</v>
      </c>
      <c r="N467" s="1" t="str">
        <f>_xlfn.XLOOKUP($J467, items_clean!$A:$A, items_clean!$E:$E, "")</f>
        <v>Large</v>
      </c>
      <c r="O467" s="3">
        <v>1</v>
      </c>
      <c r="P467" s="2">
        <f>_xlfn.XLOOKUP($J467, items_clean!$A:$A, items_clean!$F:$F, "")</f>
        <v>3.75</v>
      </c>
      <c r="Q467" s="2">
        <f t="shared" si="52"/>
        <v>3.75</v>
      </c>
      <c r="R467" s="7">
        <f>_xlfn.XLOOKUP(K467, recipe_cost!$A:$A, recipe_cost!$B:$B, "")</f>
        <v>0.33599999999999997</v>
      </c>
      <c r="S467" s="10">
        <f t="shared" si="53"/>
        <v>0.33599999999999997</v>
      </c>
      <c r="T467" s="10">
        <f t="shared" si="54"/>
        <v>3.4140000000000001</v>
      </c>
      <c r="U467" s="9">
        <f t="shared" si="55"/>
        <v>0.91039999999999999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6A4B9-D85D-4FFA-A665-67F89AC826F1}">
  <dimension ref="A1:E2"/>
  <sheetViews>
    <sheetView workbookViewId="0">
      <selection activeCell="C1" sqref="C1:C2"/>
    </sheetView>
  </sheetViews>
  <sheetFormatPr defaultRowHeight="14.4" x14ac:dyDescent="0.3"/>
  <cols>
    <col min="1" max="1" width="18.21875" bestFit="1" customWidth="1"/>
    <col min="2" max="2" width="17.88671875" bestFit="1" customWidth="1"/>
    <col min="3" max="3" width="13.5546875" bestFit="1" customWidth="1"/>
    <col min="4" max="4" width="11.109375" bestFit="1" customWidth="1"/>
    <col min="5" max="5" width="13.88671875" bestFit="1" customWidth="1"/>
  </cols>
  <sheetData>
    <row r="1" spans="1:5" x14ac:dyDescent="0.3">
      <c r="A1" s="4" t="s">
        <v>790</v>
      </c>
      <c r="B1" s="4" t="s">
        <v>791</v>
      </c>
      <c r="C1" s="2" t="s">
        <v>792</v>
      </c>
      <c r="D1" s="3" t="s">
        <v>793</v>
      </c>
      <c r="E1" s="2" t="s">
        <v>794</v>
      </c>
    </row>
    <row r="2" spans="1:5" x14ac:dyDescent="0.3">
      <c r="A2" s="4">
        <f>MIN(sales_enriched!C:C)</f>
        <v>45334.294664351852</v>
      </c>
      <c r="B2" s="4">
        <f>MAX(sales_enriched!C:C)</f>
        <v>45339.707638888889</v>
      </c>
      <c r="C2" s="2">
        <f>COUNTA(_xlfn.UNIQUE(sales_enriched!D2:D467))</f>
        <v>6</v>
      </c>
      <c r="D2" s="3">
        <f>COUNT(sales_enriched!A2:A467)</f>
        <v>466</v>
      </c>
      <c r="E2" s="2">
        <f>D2/C2</f>
        <v>77.666666666666671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ingredients_clean</vt:lpstr>
      <vt:lpstr>recipe_clean</vt:lpstr>
      <vt:lpstr>inventory_clean</vt:lpstr>
      <vt:lpstr>items_clean</vt:lpstr>
      <vt:lpstr>orders_clean</vt:lpstr>
      <vt:lpstr>rota_clean</vt:lpstr>
      <vt:lpstr>shift_clean</vt:lpstr>
      <vt:lpstr>staff_clean</vt:lpstr>
      <vt:lpstr>item_ing_cost_bridge</vt:lpstr>
      <vt:lpstr>recipe_cost</vt:lpstr>
      <vt:lpstr>sales_enriched</vt:lpstr>
      <vt:lpstr>operations_summary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mallik</dc:creator>
  <cp:lastModifiedBy>saket mallik</cp:lastModifiedBy>
  <dcterms:created xsi:type="dcterms:W3CDTF">2026-01-08T06:08:50Z</dcterms:created>
  <dcterms:modified xsi:type="dcterms:W3CDTF">2026-01-14T08:38:01Z</dcterms:modified>
</cp:coreProperties>
</file>